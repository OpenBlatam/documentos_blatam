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drawings/drawing2.xml" ContentType="application/vnd.openxmlformats-officedocument.drawing+xml"/>
  <Override PartName="/xl/worksheets/sheet11.xml" ContentType="application/vnd.openxmlformats-officedocument.spreadsheetml.worksheet+xml"/>
  <Override PartName="/xl/drawings/drawing3.xml" ContentType="application/vnd.openxmlformats-officedocument.drawing+xml"/>
  <Override PartName="/xl/worksheets/sheet12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Portada" sheetId="1" state="visible" r:id="rId1"/>
    <sheet xmlns:r="http://schemas.openxmlformats.org/officeDocument/2006/relationships" name="01_Información" sheetId="2" state="visible" r:id="rId2"/>
    <sheet xmlns:r="http://schemas.openxmlformats.org/officeDocument/2006/relationships" name="09_Plataformas" sheetId="3" state="visible" r:id="rId3"/>
    <sheet xmlns:r="http://schemas.openxmlformats.org/officeDocument/2006/relationships" name="10_Contenido" sheetId="4" state="visible" r:id="rId4"/>
    <sheet xmlns:r="http://schemas.openxmlformats.org/officeDocument/2006/relationships" name="11_Métricas" sheetId="5" state="visible" r:id="rId5"/>
    <sheet xmlns:r="http://schemas.openxmlformats.org/officeDocument/2006/relationships" name="12_Plantilla_Brief" sheetId="6" state="visible" r:id="rId6"/>
    <sheet xmlns:r="http://schemas.openxmlformats.org/officeDocument/2006/relationships" name="13_Calculadora" sheetId="7" state="visible" r:id="rId7"/>
    <sheet xmlns:r="http://schemas.openxmlformats.org/officeDocument/2006/relationships" name="14_Comparativa" sheetId="8" state="visible" r:id="rId8"/>
    <sheet xmlns:r="http://schemas.openxmlformats.org/officeDocument/2006/relationships" name="15_Implementación" sheetId="9" state="visible" r:id="rId9"/>
    <sheet xmlns:r="http://schemas.openxmlformats.org/officeDocument/2006/relationships" name="16_Dashboard" sheetId="10" state="visible" r:id="rId10"/>
    <sheet xmlns:r="http://schemas.openxmlformats.org/officeDocument/2006/relationships" name="17_Análisis" sheetId="11" state="visible" r:id="rId11"/>
    <sheet xmlns:r="http://schemas.openxmlformats.org/officeDocument/2006/relationships" name="18_Validación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&quot;%&quot;"/>
  </numFmts>
  <fonts count="13">
    <font>
      <name val="Calibri"/>
      <family val="2"/>
      <color theme="1"/>
      <sz val="11"/>
      <scheme val="minor"/>
    </font>
    <font>
      <b val="1"/>
      <color rgb="001e40af"/>
      <sz val="20"/>
    </font>
    <font>
      <i val="1"/>
      <color rgb="00059669"/>
      <sz val="14"/>
    </font>
    <font>
      <b val="1"/>
    </font>
    <font>
      <b val="1"/>
      <color rgb="00059669"/>
      <sz val="12"/>
    </font>
    <font>
      <b val="1"/>
      <color rgb="00FFFFFF"/>
      <sz val="12"/>
    </font>
    <font>
      <b val="1"/>
      <color rgb="001e40af"/>
      <sz val="16"/>
    </font>
    <font>
      <b val="1"/>
      <color rgb="001e40af"/>
      <sz val="18"/>
    </font>
    <font>
      <i val="1"/>
      <sz val="10"/>
    </font>
    <font>
      <b val="1"/>
      <color rgb="00059669"/>
      <sz val="14"/>
    </font>
    <font>
      <b val="1"/>
      <color rgb="001e40af"/>
      <sz val="14"/>
    </font>
    <font>
      <b val="1"/>
      <sz val="12"/>
    </font>
    <font>
      <b val="1"/>
      <sz val="14"/>
    </font>
  </fonts>
  <fills count="5">
    <fill>
      <patternFill/>
    </fill>
    <fill>
      <patternFill patternType="gray125"/>
    </fill>
    <fill>
      <patternFill patternType="solid">
        <fgColor rgb="00fef3c7"/>
        <bgColor rgb="00fef3c7"/>
      </patternFill>
    </fill>
    <fill>
      <patternFill patternType="solid">
        <fgColor rgb="001e40af"/>
        <bgColor rgb="001e40af"/>
      </patternFill>
    </fill>
    <fill>
      <patternFill patternType="solid">
        <fgColor rgb="00e5e7eb"/>
        <bgColor rgb="00e5e7eb"/>
      </patternFill>
    </fill>
  </fills>
  <borders count="3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4" fillId="0" borderId="0" pivotButton="0" quotePrefix="0" xfId="0"/>
    <xf numFmtId="0" fontId="5" fillId="3" borderId="0" pivotButton="0" quotePrefix="0" xfId="0"/>
    <xf numFmtId="0" fontId="3" fillId="2" borderId="1" pivotButton="0" quotePrefix="0" xfId="0"/>
    <xf numFmtId="0" fontId="0" fillId="0" borderId="1" pivotButton="0" quotePrefix="0" xfId="0"/>
    <xf numFmtId="0" fontId="6" fillId="0" borderId="0" pivotButton="0" quotePrefix="0" xfId="0"/>
    <xf numFmtId="0" fontId="5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164" fontId="0" fillId="4" borderId="1" applyAlignment="1" pivotButton="0" quotePrefix="0" xfId="0">
      <alignment vertical="top" wrapText="1"/>
    </xf>
    <xf numFmtId="164" fontId="0" fillId="0" borderId="1" applyAlignment="1" pivotButton="0" quotePrefix="0" xfId="0">
      <alignment vertical="top" wrapText="1"/>
    </xf>
    <xf numFmtId="0" fontId="5" fillId="3" borderId="2" applyAlignment="1" pivotButton="0" quotePrefix="0" xfId="0">
      <alignment vertical="top" wrapText="1"/>
    </xf>
    <xf numFmtId="0" fontId="0" fillId="4" borderId="2" applyAlignment="1" pivotButton="0" quotePrefix="0" xfId="0">
      <alignment vertical="top" wrapText="1"/>
    </xf>
    <xf numFmtId="0" fontId="0" fillId="0" borderId="2" applyAlignment="1" pivotButton="0" quotePrefix="0" xfId="0">
      <alignment vertical="top" wrapText="1"/>
    </xf>
    <xf numFmtId="0" fontId="5" fillId="3" borderId="2" pivotButton="0" quotePrefix="0" xfId="0"/>
    <xf numFmtId="0" fontId="3" fillId="2" borderId="2" pivotButton="0" quotePrefix="0" xfId="0"/>
    <xf numFmtId="0" fontId="0" fillId="0" borderId="2" pivotButton="0" quotePrefix="0" xfId="0"/>
    <xf numFmtId="0" fontId="7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5" fillId="3" borderId="2" applyAlignment="1" pivotButton="0" quotePrefix="0" xfId="0">
      <alignment horizontal="center"/>
    </xf>
    <xf numFmtId="0" fontId="10" fillId="0" borderId="0" pivotButton="0" quotePrefix="0" xfId="0"/>
    <xf numFmtId="0" fontId="11" fillId="0" borderId="0" pivotButton="0" quotePrefix="0" xfId="0"/>
    <xf numFmtId="1" fontId="12" fillId="0" borderId="0" pivotButton="0" quotePrefix="0" xfId="0"/>
    <xf numFmtId="0" fontId="3" fillId="0" borderId="0" pivotButton="0" quotePrefix="0" xfId="0"/>
    <xf numFmtId="0" fontId="0" fillId="0" borderId="2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Distribución de Tipos de Contenido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cat>
            <numRef>
              <f>'10_Contenido'!$A$4:$A$8</f>
            </numRef>
          </cat>
          <val>
            <numRef>
              <f>'10_Contenido'!$B$4:$B$8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Tipo de Contenido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Porcentaje (%)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Engagement Rate por Plataforma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cat>
            <numRef>
              <f>'16_Dashboard'!$A$14:$A$17</f>
            </numRef>
          </cat>
          <val>
            <numRef>
              <f>'16_Dashboard'!$C$14:$C$17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Plataforma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Engagement Rate (%)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Distribución de Posts por Plataforma</a:t>
            </a:r>
          </a:p>
        </rich>
      </tx>
    </title>
    <plotArea>
      <pieChart>
        <varyColors val="1"/>
        <ser>
          <idx val="0"/>
          <order val="0"/>
          <tx>
            <strRef>
              <f>'16_Dashboard'!B14</f>
            </strRef>
          </tx>
          <spPr>
            <a:ln xmlns:a="http://schemas.openxmlformats.org/drawingml/2006/main">
              <a:prstDash val="solid"/>
            </a:ln>
          </spPr>
          <cat>
            <numRef>
              <f>'16_Dashboard'!$A$14:$A$17</f>
            </numRef>
          </cat>
          <val>
            <numRef>
              <f>'16_Dashboard'!$B$15:$B$17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Tendencia de Engagement Semanal</a:t>
            </a:r>
          </a:p>
        </rich>
      </tx>
    </title>
    <plotArea>
      <lineChart>
        <grouping val="standard"/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'17_Análisis'!$A$5:$A$8</f>
            </numRef>
          </cat>
          <val>
            <numRef>
              <f>'17_Análisis'!$C$5:$C$8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Semana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Engagement Rate (%)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Relationship Type="http://schemas.openxmlformats.org/officeDocument/2006/relationships/chart" Target="/xl/charts/chart3.xml" Id="rId2"/></Relationships>
</file>

<file path=xl/drawings/_rels/drawing3.xml.rels><Relationships xmlns="http://schemas.openxmlformats.org/package/2006/relationships"><Relationship Type="http://schemas.openxmlformats.org/officeDocument/2006/relationships/chart" Target="/xl/charts/chart4.xml" Id="rId1"/></Relationships>
</file>

<file path=xl/drawings/drawing1.xml><?xml version="1.0" encoding="utf-8"?>
<wsDr xmlns="http://schemas.openxmlformats.org/drawingml/2006/spreadsheetDrawing">
  <oneCellAnchor>
    <from>
      <col>5</col>
      <colOff>0</colOff>
      <row>2</row>
      <rowOff>0</rowOff>
    </from>
    <ext cx="540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7</col>
      <colOff>0</colOff>
      <row>12</row>
      <rowOff>0</rowOff>
    </from>
    <ext cx="432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7</col>
      <colOff>0</colOff>
      <row>24</row>
      <rowOff>0</rowOff>
    </from>
    <ext cx="3600000" cy="288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0</col>
      <colOff>0</colOff>
      <row>11</row>
      <rowOff>0</rowOff>
    </from>
    <ext cx="432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10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11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cols>
    <col width="25" customWidth="1" min="1" max="1"/>
    <col width="35" customWidth="1" min="2" max="2"/>
    <col width="50" customWidth="1" min="3" max="3"/>
  </cols>
  <sheetData>
    <row r="1">
      <c r="A1" s="1" t="inlineStr">
        <is>
          <t>SISTEMA DE CALENDARIO DE CONTENIDO</t>
        </is>
      </c>
    </row>
    <row r="2">
      <c r="A2" s="1" t="inlineStr">
        <is>
          <t>DE REDES SOCIALES</t>
        </is>
      </c>
    </row>
    <row r="4">
      <c r="A4" s="2" t="inlineStr">
        <is>
          <t>Sistema de Prompt para Inteligencia Artificial</t>
        </is>
      </c>
    </row>
    <row r="6">
      <c r="A6" s="3" t="inlineStr">
        <is>
          <t>Versión:</t>
        </is>
      </c>
      <c r="B6" t="inlineStr">
        <is>
          <t>1.0</t>
        </is>
      </c>
    </row>
    <row r="7">
      <c r="A7" s="3" t="inlineStr">
        <is>
          <t>Fecha:</t>
        </is>
      </c>
      <c r="B7" t="inlineStr">
        <is>
          <t>November 2025</t>
        </is>
      </c>
    </row>
    <row r="8">
      <c r="A8" s="3" t="inlineStr">
        <is>
          <t>Categoría:</t>
        </is>
      </c>
      <c r="B8" t="inlineStr">
        <is>
          <t>Marketing Digital - Planificación de Contenido</t>
        </is>
      </c>
    </row>
    <row r="10">
      <c r="A10" s="4" t="inlineStr">
        <is>
          <t>ÍNDICE DE HOJAS</t>
        </is>
      </c>
    </row>
    <row r="11">
      <c r="A11" s="5" t="inlineStr">
        <is>
          <t>Hoja</t>
        </is>
      </c>
      <c r="B11" s="5" t="inlineStr">
        <is>
          <t>Contenido</t>
        </is>
      </c>
      <c r="C11" s="5" t="inlineStr">
        <is>
          <t>Descripción</t>
        </is>
      </c>
    </row>
    <row r="12">
      <c r="A12" s="6" t="inlineStr">
        <is>
          <t>00_Portada</t>
        </is>
      </c>
      <c r="B12" s="7" t="inlineStr">
        <is>
          <t>Portada e Índice</t>
        </is>
      </c>
      <c r="C12" s="7" t="inlineStr">
        <is>
          <t>Información general del documento</t>
        </is>
      </c>
    </row>
    <row r="13">
      <c r="A13" s="6" t="inlineStr">
        <is>
          <t>01_Información</t>
        </is>
      </c>
      <c r="B13" s="7" t="inlineStr">
        <is>
          <t>Información General</t>
        </is>
      </c>
      <c r="C13" s="7" t="inlineStr">
        <is>
          <t>Metadatos y versión del sistema</t>
        </is>
      </c>
    </row>
    <row r="14">
      <c r="A14" s="6" t="inlineStr">
        <is>
          <t>02_Objetivo</t>
        </is>
      </c>
      <c r="B14" s="7" t="inlineStr">
        <is>
          <t>Objetivo del Sistema</t>
        </is>
      </c>
      <c r="C14" s="7" t="inlineStr">
        <is>
          <t>Descripción del rol y propósito</t>
        </is>
      </c>
    </row>
    <row r="15">
      <c r="A15" s="6" t="inlineStr">
        <is>
          <t>03_Reglas_Formato</t>
        </is>
      </c>
      <c r="B15" s="7" t="inlineStr">
        <is>
          <t>Reglas de Formato</t>
        </is>
      </c>
      <c r="C15" s="7" t="inlineStr">
        <is>
          <t>Instrucciones de formato detalladas</t>
        </is>
      </c>
    </row>
    <row r="16">
      <c r="A16" s="6" t="inlineStr">
        <is>
          <t>04_Restricciones</t>
        </is>
      </c>
      <c r="B16" s="7" t="inlineStr">
        <is>
          <t>Restricciones</t>
        </is>
      </c>
      <c r="C16" s="7" t="inlineStr">
        <is>
          <t>Lista completa de restricciones</t>
        </is>
      </c>
    </row>
    <row r="17">
      <c r="A17" s="6" t="inlineStr">
        <is>
          <t>05_Tipos_Consulta</t>
        </is>
      </c>
      <c r="B17" s="7" t="inlineStr">
        <is>
          <t>Tipos de Consulta</t>
        </is>
      </c>
      <c r="C17" s="7" t="inlineStr">
        <is>
          <t>Tipos de calendarios soportados</t>
        </is>
      </c>
    </row>
    <row r="18">
      <c r="A18" s="6" t="inlineStr">
        <is>
          <t>06_Planificación</t>
        </is>
      </c>
      <c r="B18" s="7" t="inlineStr">
        <is>
          <t>Reglas de Planificación</t>
        </is>
      </c>
      <c r="C18" s="7" t="inlineStr">
        <is>
          <t>Proceso de planificación estratégica</t>
        </is>
      </c>
    </row>
    <row r="19">
      <c r="A19" s="6" t="inlineStr">
        <is>
          <t>07_Especificaciones</t>
        </is>
      </c>
      <c r="B19" s="7" t="inlineStr">
        <is>
          <t>Especificaciones de Salida</t>
        </is>
      </c>
      <c r="C19" s="7" t="inlineStr">
        <is>
          <t>Requisitos de estructura y calidad</t>
        </is>
      </c>
    </row>
    <row r="20">
      <c r="A20" s="6" t="inlineStr">
        <is>
          <t>08_Checklist</t>
        </is>
      </c>
      <c r="B20" s="7" t="inlineStr">
        <is>
          <t>Checklist de Calidad</t>
        </is>
      </c>
      <c r="C20" s="7" t="inlineStr">
        <is>
          <t>Lista de verificación antes de entregar</t>
        </is>
      </c>
    </row>
    <row r="21">
      <c r="A21" s="6" t="inlineStr">
        <is>
          <t>09_Plataformas</t>
        </is>
      </c>
      <c r="B21" s="7" t="inlineStr">
        <is>
          <t>Estrategias por Plataforma</t>
        </is>
      </c>
      <c r="C21" s="7" t="inlineStr">
        <is>
          <t>Recomendaciones específicas por plataforma</t>
        </is>
      </c>
    </row>
    <row r="22">
      <c r="A22" s="6" t="inlineStr">
        <is>
          <t>10_Contenido</t>
        </is>
      </c>
      <c r="B22" s="7" t="inlineStr">
        <is>
          <t>Tipos de Contenido</t>
        </is>
      </c>
      <c r="C22" s="7" t="inlineStr">
        <is>
          <t>Variedad y balance de contenido</t>
        </is>
      </c>
    </row>
    <row r="23">
      <c r="A23" s="6" t="inlineStr">
        <is>
          <t>11_Métricas</t>
        </is>
      </c>
      <c r="B23" s="7" t="inlineStr">
        <is>
          <t>Métricas y KPIs</t>
        </is>
      </c>
      <c r="C23" s="7" t="inlineStr">
        <is>
          <t>Indicadores de rendimiento</t>
        </is>
      </c>
    </row>
  </sheetData>
  <mergeCells count="4">
    <mergeCell ref="A1:D1"/>
    <mergeCell ref="A10:D10"/>
    <mergeCell ref="A4:D4"/>
    <mergeCell ref="A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25" customWidth="1" min="1" max="1"/>
    <col width="40" customWidth="1" min="2" max="2"/>
    <col width="50" customWidth="1" min="3" max="3"/>
  </cols>
  <sheetData>
    <row r="1">
      <c r="A1" s="8" t="inlineStr">
        <is>
          <t>INFORMACIÓN GENERAL DEL SISTEMA</t>
        </is>
      </c>
    </row>
    <row r="3">
      <c r="A3" s="9" t="inlineStr">
        <is>
          <t>Campo</t>
        </is>
      </c>
      <c r="B3" s="9" t="inlineStr">
        <is>
          <t>Valor</t>
        </is>
      </c>
      <c r="C3" s="9" t="inlineStr">
        <is>
          <t>Descripción</t>
        </is>
      </c>
    </row>
    <row r="4">
      <c r="A4" s="10" t="inlineStr">
        <is>
          <t>Versión</t>
        </is>
      </c>
      <c r="B4" s="10" t="inlineStr">
        <is>
          <t>1.0</t>
        </is>
      </c>
      <c r="C4" s="10" t="inlineStr">
        <is>
          <t>Versión actual del sistema de prompt</t>
        </is>
      </c>
    </row>
    <row r="5">
      <c r="A5" s="11" t="inlineStr">
        <is>
          <t>Fecha de Creación</t>
        </is>
      </c>
      <c r="B5" s="11" t="inlineStr">
        <is>
          <t>November 2025</t>
        </is>
      </c>
      <c r="C5" s="11" t="inlineStr">
        <is>
          <t>Fecha de última actualización</t>
        </is>
      </c>
    </row>
    <row r="6">
      <c r="A6" s="10" t="inlineStr">
        <is>
          <t>Tipo de Sistema</t>
        </is>
      </c>
      <c r="B6" s="10" t="inlineStr">
        <is>
          <t>Sistema de Prompt para IA</t>
        </is>
      </c>
      <c r="C6" s="10" t="inlineStr">
        <is>
          <t>Tipo de documento</t>
        </is>
      </c>
    </row>
    <row r="7">
      <c r="A7" s="11" t="inlineStr">
        <is>
          <t>Categoría</t>
        </is>
      </c>
      <c r="B7" s="11" t="inlineStr">
        <is>
          <t>Marketing Digital</t>
        </is>
      </c>
      <c r="C7" s="11" t="inlineStr">
        <is>
          <t>Área de aplicación</t>
        </is>
      </c>
    </row>
    <row r="8">
      <c r="A8" s="10" t="inlineStr">
        <is>
          <t>Subcategoría</t>
        </is>
      </c>
      <c r="B8" s="10" t="inlineStr">
        <is>
          <t>Planificación de Contenido</t>
        </is>
      </c>
      <c r="C8" s="10" t="inlineStr">
        <is>
          <t>Especialización</t>
        </is>
      </c>
    </row>
    <row r="9">
      <c r="A9" s="11" t="inlineStr">
        <is>
          <t>Plataformas Soportadas</t>
        </is>
      </c>
      <c r="B9" s="11" t="inlineStr">
        <is>
          <t>Instagram, Facebook, Twitter/X, LinkedIn, TikTok, YouTube, Pinterest</t>
        </is>
      </c>
      <c r="C9" s="11" t="inlineStr">
        <is>
          <t>Redes sociales cubiertas</t>
        </is>
      </c>
    </row>
    <row r="10">
      <c r="A10" s="10" t="inlineStr">
        <is>
          <t>Idioma Principal</t>
        </is>
      </c>
      <c r="B10" s="10" t="inlineStr">
        <is>
          <t>Español/Inglés</t>
        </is>
      </c>
      <c r="C10" s="10" t="inlineStr">
        <is>
          <t>Idiomas de trabajo</t>
        </is>
      </c>
    </row>
    <row r="11">
      <c r="A11" s="11" t="inlineStr">
        <is>
          <t>Formato de Salida</t>
        </is>
      </c>
      <c r="B11" s="11" t="inlineStr">
        <is>
          <t>Markdown con tablas</t>
        </is>
      </c>
      <c r="C11" s="11" t="inlineStr">
        <is>
          <t>Formato requerido para calendarios</t>
        </is>
      </c>
    </row>
  </sheetData>
  <mergeCells count="1">
    <mergeCell ref="A1:D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20" customWidth="1" min="3" max="3"/>
    <col width="25" customWidth="1" min="4" max="4"/>
    <col width="15" customWidth="1" min="5" max="5"/>
    <col width="30" customWidth="1" min="6" max="6"/>
  </cols>
  <sheetData>
    <row r="1">
      <c r="A1" s="8" t="inlineStr">
        <is>
          <t>ESTRATEGIAS POR PLATAFORMA</t>
        </is>
      </c>
    </row>
    <row r="3">
      <c r="A3" s="9" t="inlineStr">
        <is>
          <t>Plataforma</t>
        </is>
      </c>
      <c r="B3" s="9" t="inlineStr">
        <is>
          <t>Mejor Horario</t>
        </is>
      </c>
      <c r="C3" s="9" t="inlineStr">
        <is>
          <t>Frecuencia Recomendada</t>
        </is>
      </c>
      <c r="D3" s="9" t="inlineStr">
        <is>
          <t>Tipo de Contenido</t>
        </is>
      </c>
      <c r="E3" s="9" t="inlineStr">
        <is>
          <t>Hashtags</t>
        </is>
      </c>
      <c r="F3" s="9" t="inlineStr">
        <is>
          <t>Notas</t>
        </is>
      </c>
    </row>
    <row r="4">
      <c r="A4" s="10" t="inlineStr">
        <is>
          <t>Instagram</t>
        </is>
      </c>
      <c r="B4" s="10" t="inlineStr">
        <is>
          <t>11 AM - 1 PM (L-V)</t>
        </is>
      </c>
      <c r="C4" s="10" t="inlineStr">
        <is>
          <t>1-2x/día</t>
        </is>
      </c>
      <c r="D4" s="10" t="inlineStr">
        <is>
          <t>Visual, Stories, Reels</t>
        </is>
      </c>
      <c r="E4" s="10" t="inlineStr">
        <is>
          <t>5-10 hashtags</t>
        </is>
      </c>
      <c r="F4" s="10" t="inlineStr">
        <is>
          <t>Enfoque visual y estético</t>
        </is>
      </c>
    </row>
    <row r="5">
      <c r="A5" s="11" t="inlineStr">
        <is>
          <t>Facebook</t>
        </is>
      </c>
      <c r="B5" s="11" t="inlineStr">
        <is>
          <t>1-3 PM (L-V)</t>
        </is>
      </c>
      <c r="C5" s="11" t="inlineStr">
        <is>
          <t>1x/día</t>
        </is>
      </c>
      <c r="D5" s="11" t="inlineStr">
        <is>
          <t>Comunidad, contenido largo</t>
        </is>
      </c>
      <c r="E5" s="11" t="inlineStr">
        <is>
          <t>1-2 hashtags</t>
        </is>
      </c>
      <c r="F5" s="11" t="inlineStr">
        <is>
          <t>Enfoque en comunidad</t>
        </is>
      </c>
    </row>
    <row r="6">
      <c r="A6" s="10" t="inlineStr">
        <is>
          <t>Twitter/X</t>
        </is>
      </c>
      <c r="B6" s="10" t="inlineStr">
        <is>
          <t>8-9 AM, 12-1 PM</t>
        </is>
      </c>
      <c r="C6" s="10" t="inlineStr">
        <is>
          <t>3-5x/día</t>
        </is>
      </c>
      <c r="D6" s="10" t="inlineStr">
        <is>
          <t>Tendencias, mensajes cortos</t>
        </is>
      </c>
      <c r="E6" s="10" t="inlineStr">
        <is>
          <t>1-2 hashtags</t>
        </is>
      </c>
      <c r="F6" s="10" t="inlineStr">
        <is>
          <t>Tiempo real, conciso</t>
        </is>
      </c>
    </row>
    <row r="7">
      <c r="A7" s="11" t="inlineStr">
        <is>
          <t>LinkedIn</t>
        </is>
      </c>
      <c r="B7" s="11" t="inlineStr">
        <is>
          <t>8-9 AM (L-V)</t>
        </is>
      </c>
      <c r="C7" s="11" t="inlineStr">
        <is>
          <t>1x/día</t>
        </is>
      </c>
      <c r="D7" s="11" t="inlineStr">
        <is>
          <t>Profesional, liderazgo</t>
        </is>
      </c>
      <c r="E7" s="11" t="inlineStr">
        <is>
          <t>3-5 hashtags</t>
        </is>
      </c>
      <c r="F7" s="11" t="inlineStr">
        <is>
          <t>Tono profesional B2B</t>
        </is>
      </c>
    </row>
    <row r="8">
      <c r="A8" s="10" t="inlineStr">
        <is>
          <t>TikTok</t>
        </is>
      </c>
      <c r="B8" s="10" t="inlineStr">
        <is>
          <t>6-10 AM, 7-9 PM</t>
        </is>
      </c>
      <c r="C8" s="10" t="inlineStr">
        <is>
          <t>1-3x/día</t>
        </is>
      </c>
      <c r="D8" s="10" t="inlineStr">
        <is>
          <t>Videos cortos, tendencias</t>
        </is>
      </c>
      <c r="E8" s="10" t="inlineStr">
        <is>
          <t>3-5 hashtags</t>
        </is>
      </c>
      <c r="F8" s="10" t="inlineStr">
        <is>
          <t>Autenticidad, tendencias</t>
        </is>
      </c>
    </row>
    <row r="9">
      <c r="A9" s="11" t="inlineStr">
        <is>
          <t>YouTube</t>
        </is>
      </c>
      <c r="B9" s="11" t="inlineStr">
        <is>
          <t>2-4 PM (L-V)</t>
        </is>
      </c>
      <c r="C9" s="11" t="inlineStr">
        <is>
          <t>2-3x/semana</t>
        </is>
      </c>
      <c r="D9" s="11" t="inlineStr">
        <is>
          <t>Educativo, series, tutoriales</t>
        </is>
      </c>
      <c r="E9" s="11" t="inlineStr">
        <is>
          <t>Títulos optimizados</t>
        </is>
      </c>
      <c r="F9" s="11" t="inlineStr">
        <is>
          <t>Contenido largo</t>
        </is>
      </c>
    </row>
    <row r="10">
      <c r="A10" t="inlineStr">
        <is>
          <t>Pinterest</t>
        </is>
      </c>
      <c r="B10" t="inlineStr">
        <is>
          <t>8-11 PM, 2-4 AM</t>
        </is>
      </c>
      <c r="C10" t="inlineStr">
        <is>
          <t>5-10x/día</t>
        </is>
      </c>
      <c r="D10" t="inlineStr">
        <is>
          <t>Visual, descubrimiento</t>
        </is>
      </c>
      <c r="E10" t="inlineStr">
        <is>
          <t>Rich Pins</t>
        </is>
      </c>
      <c r="F10" t="inlineStr">
        <is>
          <t>Búsqueda visual</t>
        </is>
      </c>
    </row>
  </sheetData>
  <mergeCells count="1"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25" customWidth="1" min="1" max="1"/>
    <col width="20" customWidth="1" min="2" max="2"/>
    <col width="25" customWidth="1" min="3" max="3"/>
    <col width="40" customWidth="1" min="4" max="4"/>
  </cols>
  <sheetData>
    <row r="1">
      <c r="A1" s="8" t="inlineStr">
        <is>
          <t>TIPOS DE CONTENIDO Y BALANCE</t>
        </is>
      </c>
    </row>
    <row r="3">
      <c r="A3" s="9" t="inlineStr">
        <is>
          <t>Tipo de Contenido</t>
        </is>
      </c>
      <c r="B3" s="9" t="inlineStr">
        <is>
          <t>Porcentaje Recomendado</t>
        </is>
      </c>
      <c r="C3" s="9" t="inlineStr">
        <is>
          <t>Objetivo</t>
        </is>
      </c>
      <c r="D3" s="9" t="inlineStr">
        <is>
          <t>Ejemplos</t>
        </is>
      </c>
    </row>
    <row r="4">
      <c r="A4" s="10" t="inlineStr">
        <is>
          <t>Educativo</t>
        </is>
      </c>
      <c r="B4" s="12" t="n">
        <v>30</v>
      </c>
      <c r="C4" s="10" t="inlineStr">
        <is>
          <t>Valor, conocimiento</t>
        </is>
      </c>
      <c r="D4" s="10" t="inlineStr">
        <is>
          <t>How-tos, tips, insights</t>
        </is>
      </c>
    </row>
    <row r="5">
      <c r="A5" s="11" t="inlineStr">
        <is>
          <t>Entretenimiento</t>
        </is>
      </c>
      <c r="B5" s="13" t="n">
        <v>25</v>
      </c>
      <c r="C5" s="11" t="inlineStr">
        <is>
          <t>Engagement, diversión</t>
        </is>
      </c>
      <c r="D5" s="11" t="inlineStr">
        <is>
          <t>Behind-the-scenes, humor</t>
        </is>
      </c>
    </row>
    <row r="6">
      <c r="A6" s="10" t="inlineStr">
        <is>
          <t>Promocional</t>
        </is>
      </c>
      <c r="B6" s="12" t="n">
        <v>20</v>
      </c>
      <c r="C6" s="10" t="inlineStr">
        <is>
          <t>Conversiones, ventas</t>
        </is>
      </c>
      <c r="D6" s="10" t="inlineStr">
        <is>
          <t>Productos, ofertas, servicios</t>
        </is>
      </c>
    </row>
    <row r="7">
      <c r="A7" s="11" t="inlineStr">
        <is>
          <t>Construcción de Comunidad</t>
        </is>
      </c>
      <c r="B7" s="13" t="n">
        <v>15</v>
      </c>
      <c r="C7" s="11" t="inlineStr">
        <is>
          <t>Relación, lealtad</t>
        </is>
      </c>
      <c r="D7" s="11" t="inlineStr">
        <is>
          <t>Preguntas, polls, UGC</t>
        </is>
      </c>
    </row>
    <row r="8">
      <c r="A8" s="10" t="inlineStr">
        <is>
          <t>Liderazgo de Opinión</t>
        </is>
      </c>
      <c r="B8" s="12" t="n">
        <v>10</v>
      </c>
      <c r="C8" s="10" t="inlineStr">
        <is>
          <t>Autoridad, confianza</t>
        </is>
      </c>
      <c r="D8" s="10" t="inlineStr">
        <is>
          <t>Tendencias, comentarios</t>
        </is>
      </c>
    </row>
  </sheetData>
  <mergeCells count="1">
    <mergeCell ref="A1:D1"/>
  </mergeCells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20" customWidth="1" min="3" max="3"/>
    <col width="20" customWidth="1" min="4" max="4"/>
    <col width="40" customWidth="1" min="5" max="5"/>
  </cols>
  <sheetData>
    <row r="1">
      <c r="A1" s="8" t="inlineStr">
        <is>
          <t>MÉTRICAS Y KPIs</t>
        </is>
      </c>
    </row>
    <row r="3">
      <c r="A3" s="9" t="inlineStr">
        <is>
          <t>Métrica</t>
        </is>
      </c>
      <c r="B3" s="9" t="inlineStr">
        <is>
          <t>Plataforma</t>
        </is>
      </c>
      <c r="C3" s="9" t="inlineStr">
        <is>
          <t>Objetivo</t>
        </is>
      </c>
      <c r="D3" s="9" t="inlineStr">
        <is>
          <t>Benchmark</t>
        </is>
      </c>
      <c r="E3" s="9" t="inlineStr">
        <is>
          <t>Fórmula</t>
        </is>
      </c>
    </row>
    <row r="4">
      <c r="A4" s="10" t="inlineStr">
        <is>
          <t>Tasa de Engagement</t>
        </is>
      </c>
      <c r="B4" s="10" t="inlineStr">
        <is>
          <t>Todas</t>
        </is>
      </c>
      <c r="C4" s="10" t="inlineStr">
        <is>
          <t>3-5%</t>
        </is>
      </c>
      <c r="D4" s="10" t="inlineStr">
        <is>
          <t>2-3%</t>
        </is>
      </c>
      <c r="E4" s="10" t="inlineStr">
        <is>
          <t>(Likes+Comentarios+Compartidos)/Alcance</t>
        </is>
      </c>
    </row>
    <row r="5">
      <c r="A5" s="11" t="inlineStr">
        <is>
          <t>Alcance</t>
        </is>
      </c>
      <c r="B5" s="11" t="inlineStr">
        <is>
          <t>Todas</t>
        </is>
      </c>
      <c r="C5" s="11" t="inlineStr">
        <is>
          <t>Aumentar 20%</t>
        </is>
      </c>
      <c r="D5" s="11" t="inlineStr">
        <is>
          <t>Baseline</t>
        </is>
      </c>
      <c r="E5" s="11" t="inlineStr">
        <is>
          <t>Usuarios únicos que ven el contenido</t>
        </is>
      </c>
    </row>
    <row r="6">
      <c r="A6" s="10" t="inlineStr">
        <is>
          <t>Clics</t>
        </is>
      </c>
      <c r="B6" s="10" t="inlineStr">
        <is>
          <t>Facebook, LinkedIn</t>
        </is>
      </c>
      <c r="C6" s="10" t="inlineStr">
        <is>
          <t>2-3% CTR</t>
        </is>
      </c>
      <c r="D6" s="10" t="inlineStr">
        <is>
          <t>1-2% CTR</t>
        </is>
      </c>
      <c r="E6" s="10" t="inlineStr">
        <is>
          <t>Clics/Impresiones</t>
        </is>
      </c>
    </row>
    <row r="7">
      <c r="A7" s="11" t="inlineStr">
        <is>
          <t>Conversiones</t>
        </is>
      </c>
      <c r="B7" s="11" t="inlineStr">
        <is>
          <t>Todas</t>
        </is>
      </c>
      <c r="C7" s="11" t="inlineStr">
        <is>
          <t>1-2%</t>
        </is>
      </c>
      <c r="D7" s="11" t="inlineStr">
        <is>
          <t>0.5-1%</t>
        </is>
      </c>
      <c r="E7" s="11" t="inlineStr">
        <is>
          <t>Conversiones/Visitas</t>
        </is>
      </c>
    </row>
    <row r="8">
      <c r="A8" s="10" t="inlineStr">
        <is>
          <t>Crecimiento de Seguidores</t>
        </is>
      </c>
      <c r="B8" s="10" t="inlineStr">
        <is>
          <t>Todas</t>
        </is>
      </c>
      <c r="C8" s="10" t="inlineStr">
        <is>
          <t>5-10%/mes</t>
        </is>
      </c>
      <c r="D8" s="10" t="inlineStr">
        <is>
          <t>3-5%/mes</t>
        </is>
      </c>
      <c r="E8" s="10" t="inlineStr">
        <is>
          <t>(Nuevos seguidores/Seguidores totales)*100</t>
        </is>
      </c>
    </row>
    <row r="9">
      <c r="A9" s="11" t="inlineStr">
        <is>
          <t>Tiempo de Visualización</t>
        </is>
      </c>
      <c r="B9" s="11" t="inlineStr">
        <is>
          <t>YouTube, TikTok</t>
        </is>
      </c>
      <c r="C9" s="11" t="inlineStr">
        <is>
          <t>&gt;50% del video</t>
        </is>
      </c>
      <c r="D9" s="11" t="inlineStr">
        <is>
          <t>30-40%</t>
        </is>
      </c>
      <c r="E9" s="11" t="inlineStr">
        <is>
          <t>Tiempo promedio/duración total</t>
        </is>
      </c>
    </row>
    <row r="10">
      <c r="A10" s="10" t="inlineStr">
        <is>
          <t>Guardados</t>
        </is>
      </c>
      <c r="B10" s="10" t="inlineStr">
        <is>
          <t>Instagram, Pinterest</t>
        </is>
      </c>
      <c r="C10" s="10" t="inlineStr">
        <is>
          <t>2-3%</t>
        </is>
      </c>
      <c r="D10" s="10" t="inlineStr">
        <is>
          <t>1-2%</t>
        </is>
      </c>
      <c r="E10" s="10" t="inlineStr">
        <is>
          <t>Guardados/Impresiones</t>
        </is>
      </c>
    </row>
  </sheetData>
  <mergeCells count="1">
    <mergeCell ref="A1:E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5" customWidth="1" min="1" max="1"/>
    <col width="50" customWidth="1" min="2" max="2"/>
    <col width="40" customWidth="1" min="3" max="3"/>
  </cols>
  <sheetData>
    <row r="1">
      <c r="A1" s="8" t="inlineStr">
        <is>
          <t>PLANTILLA DE BRIEF PARA CALENDARIO</t>
        </is>
      </c>
    </row>
    <row r="3">
      <c r="A3" s="14" t="inlineStr">
        <is>
          <t>Campo</t>
        </is>
      </c>
      <c r="B3" s="14" t="inlineStr">
        <is>
          <t>Descripción</t>
        </is>
      </c>
      <c r="C3" s="14" t="inlineStr">
        <is>
          <t>Ejemplo</t>
        </is>
      </c>
    </row>
    <row r="4">
      <c r="A4" s="15" t="inlineStr">
        <is>
          <t>Marca</t>
        </is>
      </c>
      <c r="B4" s="15" t="inlineStr">
        <is>
          <t>Nombre de la marca</t>
        </is>
      </c>
      <c r="C4" s="15" t="inlineStr">
        <is>
          <t>TechStart Inc.</t>
        </is>
      </c>
    </row>
    <row r="5">
      <c r="A5" s="16" t="inlineStr">
        <is>
          <t>Plataformas</t>
        </is>
      </c>
      <c r="B5" s="16" t="inlineStr">
        <is>
          <t>Redes sociales</t>
        </is>
      </c>
      <c r="C5" s="16" t="inlineStr">
        <is>
          <t>Instagram, LinkedIn</t>
        </is>
      </c>
    </row>
    <row r="6">
      <c r="A6" s="15" t="inlineStr">
        <is>
          <t>Período</t>
        </is>
      </c>
      <c r="B6" s="15" t="inlineStr">
        <is>
          <t>Duración</t>
        </is>
      </c>
      <c r="C6" s="15" t="inlineStr">
        <is>
          <t>Semanal o Mensual</t>
        </is>
      </c>
    </row>
    <row r="7">
      <c r="A7" s="16" t="inlineStr">
        <is>
          <t>Objetivos</t>
        </is>
      </c>
      <c r="B7" s="16" t="inlineStr">
        <is>
          <t>Objetivos marketing</t>
        </is>
      </c>
      <c r="C7" s="16" t="inlineStr">
        <is>
          <t>Awareness, Engagement</t>
        </is>
      </c>
    </row>
    <row r="8">
      <c r="A8" s="15" t="inlineStr">
        <is>
          <t>Audiencia</t>
        </is>
      </c>
      <c r="B8" s="15" t="inlineStr">
        <is>
          <t>Descripción</t>
        </is>
      </c>
      <c r="C8" s="15" t="inlineStr">
        <is>
          <t>Mujeres 25-40</t>
        </is>
      </c>
    </row>
    <row r="9">
      <c r="A9" s="16" t="inlineStr">
        <is>
          <t>Temas</t>
        </is>
      </c>
      <c r="B9" s="16" t="inlineStr">
        <is>
          <t>Pilares contenido</t>
        </is>
      </c>
      <c r="C9" s="16" t="inlineStr">
        <is>
          <t>Innovación, Sostenibilidad</t>
        </is>
      </c>
    </row>
  </sheetData>
  <mergeCells count="1">
    <mergeCell ref="A1:C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18" customWidth="1" min="3" max="3"/>
    <col width="18" customWidth="1" min="4" max="4"/>
  </cols>
  <sheetData>
    <row r="1">
      <c r="A1" s="8" t="inlineStr">
        <is>
          <t>CALCULADORA DE FRECUENCIA</t>
        </is>
      </c>
    </row>
    <row r="3">
      <c r="A3" s="17" t="inlineStr">
        <is>
          <t>Plataforma</t>
        </is>
      </c>
      <c r="B3" s="17" t="inlineStr">
        <is>
          <t>Frecuencia</t>
        </is>
      </c>
      <c r="C3" s="17" t="inlineStr">
        <is>
          <t>Posts/Semana</t>
        </is>
      </c>
      <c r="D3" s="17" t="inlineStr">
        <is>
          <t>Posts/Mes</t>
        </is>
      </c>
    </row>
    <row r="4">
      <c r="A4" s="18" t="inlineStr">
        <is>
          <t>Instagram</t>
        </is>
      </c>
      <c r="B4" s="19" t="inlineStr">
        <is>
          <t>1-2x/día</t>
        </is>
      </c>
      <c r="C4" s="19" t="n">
        <v>10.5</v>
      </c>
      <c r="D4" s="19">
        <f>C4*4.33</f>
        <v/>
      </c>
    </row>
    <row r="5">
      <c r="A5" s="18" t="inlineStr">
        <is>
          <t>Facebook</t>
        </is>
      </c>
      <c r="B5" s="19" t="inlineStr">
        <is>
          <t>1x/día</t>
        </is>
      </c>
      <c r="C5" s="19" t="n">
        <v>7</v>
      </c>
      <c r="D5" s="19">
        <f>C5*4.33</f>
        <v/>
      </c>
    </row>
    <row r="6">
      <c r="A6" s="18" t="inlineStr">
        <is>
          <t>Twitter/X</t>
        </is>
      </c>
      <c r="B6" s="19" t="inlineStr">
        <is>
          <t>3-5x/día</t>
        </is>
      </c>
      <c r="C6" s="19" t="n">
        <v>28</v>
      </c>
      <c r="D6" s="19">
        <f>C6*4.33</f>
        <v/>
      </c>
    </row>
    <row r="7">
      <c r="A7" s="18" t="inlineStr">
        <is>
          <t>LinkedIn</t>
        </is>
      </c>
      <c r="B7" s="19" t="inlineStr">
        <is>
          <t>1x/día</t>
        </is>
      </c>
      <c r="C7" s="19" t="n">
        <v>7</v>
      </c>
      <c r="D7" s="19">
        <f>C7*4.33</f>
        <v/>
      </c>
    </row>
    <row r="8">
      <c r="A8" s="18" t="inlineStr">
        <is>
          <t>TikTok</t>
        </is>
      </c>
      <c r="B8" s="19" t="inlineStr">
        <is>
          <t>1-3x/día</t>
        </is>
      </c>
      <c r="C8" s="19" t="n">
        <v>14</v>
      </c>
      <c r="D8" s="19">
        <f>C8*4.33</f>
        <v/>
      </c>
    </row>
  </sheetData>
  <mergeCells count="1">
    <mergeCell ref="A1:D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s="8" t="inlineStr">
        <is>
          <t>COMPARATIVA DE PLATAFORMAS</t>
        </is>
      </c>
    </row>
    <row r="3">
      <c r="A3" s="14" t="inlineStr">
        <is>
          <t>Plataforma</t>
        </is>
      </c>
      <c r="B3" s="14" t="inlineStr">
        <is>
          <t>Horario</t>
        </is>
      </c>
      <c r="C3" s="14" t="inlineStr">
        <is>
          <t>Frecuencia</t>
        </is>
      </c>
      <c r="D3" s="14" t="inlineStr">
        <is>
          <t>Formato</t>
        </is>
      </c>
      <c r="E3" s="14" t="inlineStr">
        <is>
          <t>Hashtags</t>
        </is>
      </c>
      <c r="F3" s="14" t="inlineStr">
        <is>
          <t>Alcance</t>
        </is>
      </c>
      <c r="G3" s="14" t="inlineStr">
        <is>
          <t>Engagement</t>
        </is>
      </c>
    </row>
    <row r="4">
      <c r="A4" s="15" t="inlineStr">
        <is>
          <t>Instagram</t>
        </is>
      </c>
      <c r="B4" s="15" t="inlineStr">
        <is>
          <t>11 AM-1 PM</t>
        </is>
      </c>
      <c r="C4" s="15" t="inlineStr">
        <is>
          <t>Alta</t>
        </is>
      </c>
      <c r="D4" s="15" t="inlineStr">
        <is>
          <t>Visual</t>
        </is>
      </c>
      <c r="E4" s="15" t="inlineStr">
        <is>
          <t>5-10</t>
        </is>
      </c>
      <c r="F4" s="15" t="inlineStr">
        <is>
          <t>Alto</t>
        </is>
      </c>
      <c r="G4" s="15" t="inlineStr">
        <is>
          <t>Alto</t>
        </is>
      </c>
    </row>
    <row r="5">
      <c r="A5" s="16" t="inlineStr">
        <is>
          <t>Facebook</t>
        </is>
      </c>
      <c r="B5" s="16" t="inlineStr">
        <is>
          <t>1-3 PM</t>
        </is>
      </c>
      <c r="C5" s="16" t="inlineStr">
        <is>
          <t>Media</t>
        </is>
      </c>
      <c r="D5" s="16" t="inlineStr">
        <is>
          <t>Texto/Video</t>
        </is>
      </c>
      <c r="E5" s="16" t="inlineStr">
        <is>
          <t>1-2</t>
        </is>
      </c>
      <c r="F5" s="16" t="inlineStr">
        <is>
          <t>Muy Alto</t>
        </is>
      </c>
      <c r="G5" s="16" t="inlineStr">
        <is>
          <t>Medio</t>
        </is>
      </c>
    </row>
    <row r="6">
      <c r="A6" s="15" t="inlineStr">
        <is>
          <t>Twitter/X</t>
        </is>
      </c>
      <c r="B6" s="15" t="inlineStr">
        <is>
          <t>8-9 AM</t>
        </is>
      </c>
      <c r="C6" s="15" t="inlineStr">
        <is>
          <t>Muy Alta</t>
        </is>
      </c>
      <c r="D6" s="15" t="inlineStr">
        <is>
          <t>Texto</t>
        </is>
      </c>
      <c r="E6" s="15" t="inlineStr">
        <is>
          <t>1-2</t>
        </is>
      </c>
      <c r="F6" s="15" t="inlineStr">
        <is>
          <t>Medio</t>
        </is>
      </c>
      <c r="G6" s="15" t="inlineStr">
        <is>
          <t>Medio</t>
        </is>
      </c>
    </row>
    <row r="7">
      <c r="A7" s="16" t="inlineStr">
        <is>
          <t>LinkedIn</t>
        </is>
      </c>
      <c r="B7" s="16" t="inlineStr">
        <is>
          <t>8-9 AM</t>
        </is>
      </c>
      <c r="C7" s="16" t="inlineStr">
        <is>
          <t>Baja</t>
        </is>
      </c>
      <c r="D7" s="16" t="inlineStr">
        <is>
          <t>Texto/Video</t>
        </is>
      </c>
      <c r="E7" s="16" t="inlineStr">
        <is>
          <t>3-5</t>
        </is>
      </c>
      <c r="F7" s="16" t="inlineStr">
        <is>
          <t>Medio</t>
        </is>
      </c>
      <c r="G7" s="16" t="inlineStr">
        <is>
          <t>Alto</t>
        </is>
      </c>
    </row>
    <row r="8">
      <c r="A8" s="15" t="inlineStr">
        <is>
          <t>TikTok</t>
        </is>
      </c>
      <c r="B8" s="15" t="inlineStr">
        <is>
          <t>6-10 AM</t>
        </is>
      </c>
      <c r="C8" s="15" t="inlineStr">
        <is>
          <t>Alta</t>
        </is>
      </c>
      <c r="D8" s="15" t="inlineStr">
        <is>
          <t>Video</t>
        </is>
      </c>
      <c r="E8" s="15" t="inlineStr">
        <is>
          <t>3-5</t>
        </is>
      </c>
      <c r="F8" s="15" t="inlineStr">
        <is>
          <t>Alto</t>
        </is>
      </c>
      <c r="G8" s="15" t="inlineStr">
        <is>
          <t>Muy Alto</t>
        </is>
      </c>
    </row>
  </sheetData>
  <mergeCells count="1"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5" customWidth="1" min="1" max="1"/>
    <col width="35" customWidth="1" min="2" max="2"/>
    <col width="20" customWidth="1" min="3" max="3"/>
    <col width="15" customWidth="1" min="4" max="4"/>
    <col width="12" customWidth="1" min="5" max="5"/>
  </cols>
  <sheetData>
    <row r="1">
      <c r="A1" s="8" t="inlineStr">
        <is>
          <t>CHECKLIST DE IMPLEMENTACIÓN</t>
        </is>
      </c>
    </row>
    <row r="3">
      <c r="A3" s="17" t="inlineStr">
        <is>
          <t>Fase</t>
        </is>
      </c>
      <c r="B3" s="17" t="inlineStr">
        <is>
          <t>Tarea</t>
        </is>
      </c>
      <c r="C3" s="17" t="inlineStr">
        <is>
          <t>Responsable</t>
        </is>
      </c>
      <c r="D3" s="17" t="inlineStr">
        <is>
          <t>Estado</t>
        </is>
      </c>
      <c r="E3" s="17" t="inlineStr">
        <is>
          <t>Fecha</t>
        </is>
      </c>
    </row>
    <row r="4">
      <c r="A4" s="19" t="inlineStr">
        <is>
          <t>Preparación</t>
        </is>
      </c>
      <c r="B4" s="19" t="inlineStr">
        <is>
          <t>Revisar brief</t>
        </is>
      </c>
      <c r="C4" s="19" t="inlineStr"/>
      <c r="D4" s="19" t="inlineStr">
        <is>
          <t>Pendiente</t>
        </is>
      </c>
      <c r="E4" s="19" t="inlineStr"/>
    </row>
    <row r="5">
      <c r="A5" s="19" t="inlineStr">
        <is>
          <t>Preparación</t>
        </is>
      </c>
      <c r="B5" s="19" t="inlineStr">
        <is>
          <t>Validar objetivos</t>
        </is>
      </c>
      <c r="C5" s="19" t="inlineStr"/>
      <c r="D5" s="19" t="inlineStr">
        <is>
          <t>Pendiente</t>
        </is>
      </c>
      <c r="E5" s="19" t="inlineStr"/>
    </row>
    <row r="6">
      <c r="A6" s="19" t="inlineStr">
        <is>
          <t>Creación</t>
        </is>
      </c>
      <c r="B6" s="19" t="inlineStr">
        <is>
          <t>Generar calendario</t>
        </is>
      </c>
      <c r="C6" s="19" t="inlineStr"/>
      <c r="D6" s="19" t="inlineStr">
        <is>
          <t>Pendiente</t>
        </is>
      </c>
      <c r="E6" s="19" t="inlineStr"/>
    </row>
    <row r="7">
      <c r="A7" s="19" t="inlineStr">
        <is>
          <t>Aprobación</t>
        </is>
      </c>
      <c r="B7" s="19" t="inlineStr">
        <is>
          <t>Revisión interna</t>
        </is>
      </c>
      <c r="C7" s="19" t="inlineStr"/>
      <c r="D7" s="19" t="inlineStr">
        <is>
          <t>Pendiente</t>
        </is>
      </c>
      <c r="E7" s="19" t="inlineStr"/>
    </row>
    <row r="8">
      <c r="A8" s="19" t="inlineStr">
        <is>
          <t>Producción</t>
        </is>
      </c>
      <c r="B8" s="19" t="inlineStr">
        <is>
          <t>Crear contenido</t>
        </is>
      </c>
      <c r="C8" s="19" t="inlineStr"/>
      <c r="D8" s="19" t="inlineStr">
        <is>
          <t>Pendiente</t>
        </is>
      </c>
      <c r="E8" s="19" t="inlineStr"/>
    </row>
    <row r="9">
      <c r="A9" s="19" t="inlineStr">
        <is>
          <t>Ejecución</t>
        </is>
      </c>
      <c r="B9" s="19" t="inlineStr">
        <is>
          <t>Publicar</t>
        </is>
      </c>
      <c r="C9" s="19" t="inlineStr"/>
      <c r="D9" s="19" t="inlineStr">
        <is>
          <t>Pendiente</t>
        </is>
      </c>
      <c r="E9" s="19" t="inlineStr"/>
    </row>
  </sheetData>
  <mergeCells count="1">
    <mergeCell ref="A1:E1"/>
  </mergeCells>
  <dataValidations count="6">
    <dataValidation sqref="D4" showDropDown="0" showInputMessage="0" showErrorMessage="0" allowBlank="0" type="list">
      <formula1>"Pendiente,En Progreso,Completado"</formula1>
    </dataValidation>
    <dataValidation sqref="D5" showDropDown="0" showInputMessage="0" showErrorMessage="0" allowBlank="0" type="list">
      <formula1>"Pendiente,En Progreso,Completado"</formula1>
    </dataValidation>
    <dataValidation sqref="D6" showDropDown="0" showInputMessage="0" showErrorMessage="0" allowBlank="0" type="list">
      <formula1>"Pendiente,En Progreso,Completado"</formula1>
    </dataValidation>
    <dataValidation sqref="D7" showDropDown="0" showInputMessage="0" showErrorMessage="0" allowBlank="0" type="list">
      <formula1>"Pendiente,En Progreso,Completado"</formula1>
    </dataValidation>
    <dataValidation sqref="D8" showDropDown="0" showInputMessage="0" showErrorMessage="0" allowBlank="0" type="list">
      <formula1>"Pendiente,En Progreso,Completado"</formula1>
    </dataValidation>
    <dataValidation sqref="D9" showDropDown="0" showInputMessage="0" showErrorMessage="0" allowBlank="0" type="list">
      <formula1>"Pendiente,En Progreso,Completado"</formula1>
    </dataValidation>
  </dataValidation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20" customWidth="1" min="3" max="3"/>
    <col width="25" customWidth="1" min="4" max="4"/>
    <col width="15" customWidth="1" min="5" max="5"/>
    <col width="15" customWidth="1" min="6" max="6"/>
  </cols>
  <sheetData>
    <row r="1">
      <c r="A1" s="20" t="inlineStr">
        <is>
          <t>DASHBOARD DE MÉTRICAS - CALENDARIO DE CONTENIDO</t>
        </is>
      </c>
    </row>
    <row r="2">
      <c r="A2" s="21" t="inlineStr">
        <is>
          <t>Última actualización: 22/11/2025 02:03</t>
        </is>
      </c>
    </row>
    <row r="4">
      <c r="A4" s="22" t="inlineStr">
        <is>
          <t>RESUMEN EJECUTIVO</t>
        </is>
      </c>
    </row>
    <row r="5">
      <c r="A5" s="23" t="inlineStr">
        <is>
          <t>Métrica</t>
        </is>
      </c>
      <c r="B5" s="23" t="inlineStr">
        <is>
          <t>Valor</t>
        </is>
      </c>
      <c r="C5" s="23" t="inlineStr">
        <is>
          <t>Objetivo</t>
        </is>
      </c>
      <c r="D5" s="23" t="inlineStr">
        <is>
          <t>Estado</t>
        </is>
      </c>
    </row>
    <row r="6">
      <c r="A6" s="18" t="inlineStr">
        <is>
          <t>Posts Programados</t>
        </is>
      </c>
      <c r="B6" s="19" t="n">
        <v>45</v>
      </c>
      <c r="C6" s="19" t="n">
        <v>50</v>
      </c>
      <c r="D6" s="19">
        <f>SI(B6&gt;=C6;"✅";"⚠️")</f>
        <v/>
      </c>
    </row>
    <row r="7">
      <c r="A7" s="18" t="inlineStr">
        <is>
          <t>Plataformas Activas</t>
        </is>
      </c>
      <c r="B7" s="19" t="n">
        <v>4</v>
      </c>
      <c r="C7" s="19" t="n">
        <v>4</v>
      </c>
      <c r="D7" s="19">
        <f>SI(B7&gt;=C7;"✅";"⚠️")</f>
        <v/>
      </c>
    </row>
    <row r="8">
      <c r="A8" s="18" t="inlineStr">
        <is>
          <t>Engagement Rate</t>
        </is>
      </c>
      <c r="B8" s="19" t="inlineStr">
        <is>
          <t>5.2%</t>
        </is>
      </c>
      <c r="C8" s="19" t="inlineStr">
        <is>
          <t>5.0%</t>
        </is>
      </c>
      <c r="D8" s="19">
        <f>SI(VALOR(B8)&gt;=VALOR(C8);"✅";"⚠️")</f>
        <v/>
      </c>
    </row>
    <row r="9">
      <c r="A9" s="18" t="inlineStr">
        <is>
          <t>Alcance Total</t>
        </is>
      </c>
      <c r="B9" s="19" t="n">
        <v>12500</v>
      </c>
      <c r="C9" s="19" t="n">
        <v>10000</v>
      </c>
      <c r="D9" s="19">
        <f>SI(B9&gt;=C9;"✅";"⚠️")</f>
        <v/>
      </c>
    </row>
    <row r="10">
      <c r="A10" s="18" t="inlineStr">
        <is>
          <t>Conversiones</t>
        </is>
      </c>
      <c r="B10" s="19" t="n">
        <v>85</v>
      </c>
      <c r="C10" s="19" t="n">
        <v>80</v>
      </c>
      <c r="D10" s="19">
        <f>SI(B10&gt;=C10;"✅";"⚠️")</f>
        <v/>
      </c>
    </row>
    <row r="12">
      <c r="A12" s="22" t="inlineStr">
        <is>
          <t>MÉTRICAS POR PLATAFORMA</t>
        </is>
      </c>
    </row>
    <row r="13">
      <c r="A13" s="23" t="inlineStr">
        <is>
          <t>Plataforma</t>
        </is>
      </c>
      <c r="B13" s="23" t="inlineStr">
        <is>
          <t>Posts</t>
        </is>
      </c>
      <c r="C13" s="23" t="inlineStr">
        <is>
          <t>Engagement</t>
        </is>
      </c>
      <c r="D13" s="23" t="inlineStr">
        <is>
          <t>Alcance</t>
        </is>
      </c>
      <c r="E13" s="23" t="inlineStr">
        <is>
          <t>Conversiones</t>
        </is>
      </c>
      <c r="F13" s="23" t="inlineStr">
        <is>
          <t>ROI</t>
        </is>
      </c>
    </row>
    <row r="14">
      <c r="A14" s="18" t="inlineStr">
        <is>
          <t>Instagram</t>
        </is>
      </c>
      <c r="B14" s="19" t="n">
        <v>20</v>
      </c>
      <c r="C14" s="19" t="inlineStr">
        <is>
          <t>6.2%</t>
        </is>
      </c>
      <c r="D14" s="19" t="n">
        <v>8500</v>
      </c>
      <c r="E14" s="19" t="n">
        <v>45</v>
      </c>
      <c r="F14" s="19" t="inlineStr">
        <is>
          <t>320%</t>
        </is>
      </c>
    </row>
    <row r="15">
      <c r="A15" s="18" t="inlineStr">
        <is>
          <t>Facebook</t>
        </is>
      </c>
      <c r="B15" s="19" t="n">
        <v>15</v>
      </c>
      <c r="C15" s="19" t="inlineStr">
        <is>
          <t>4.8%</t>
        </is>
      </c>
      <c r="D15" s="19" t="n">
        <v>12000</v>
      </c>
      <c r="E15" s="19" t="n">
        <v>25</v>
      </c>
      <c r="F15" s="19" t="inlineStr">
        <is>
          <t>280%</t>
        </is>
      </c>
    </row>
    <row r="16">
      <c r="A16" s="18" t="inlineStr">
        <is>
          <t>LinkedIn</t>
        </is>
      </c>
      <c r="B16" s="19" t="n">
        <v>8</v>
      </c>
      <c r="C16" s="19" t="inlineStr">
        <is>
          <t>5.5%</t>
        </is>
      </c>
      <c r="D16" s="19" t="n">
        <v>3500</v>
      </c>
      <c r="E16" s="19" t="n">
        <v>12</v>
      </c>
      <c r="F16" s="19" t="inlineStr">
        <is>
          <t>350%</t>
        </is>
      </c>
    </row>
    <row r="17">
      <c r="A17" s="18" t="inlineStr">
        <is>
          <t>Twitter/X</t>
        </is>
      </c>
      <c r="B17" s="19" t="n">
        <v>12</v>
      </c>
      <c r="C17" s="19" t="inlineStr">
        <is>
          <t>3.2%</t>
        </is>
      </c>
      <c r="D17" s="19" t="n">
        <v>2800</v>
      </c>
      <c r="E17" s="19" t="n">
        <v>3</v>
      </c>
      <c r="F17" s="19" t="inlineStr">
        <is>
          <t>150%</t>
        </is>
      </c>
    </row>
    <row r="30">
      <c r="A30" s="22" t="inlineStr">
        <is>
          <t>ANÁLISIS DE CONTENIDO</t>
        </is>
      </c>
    </row>
    <row r="31">
      <c r="A31" s="23" t="inlineStr">
        <is>
          <t>Tipo de Contenido</t>
        </is>
      </c>
      <c r="B31" s="23" t="inlineStr">
        <is>
          <t>Cantidad</t>
        </is>
      </c>
      <c r="C31" s="23" t="inlineStr">
        <is>
          <t>Engagement Promedio</t>
        </is>
      </c>
      <c r="D31" s="23" t="inlineStr">
        <is>
          <t>Mejor Performador</t>
        </is>
      </c>
    </row>
    <row r="32">
      <c r="A32" s="18" t="inlineStr">
        <is>
          <t>Educativo</t>
        </is>
      </c>
      <c r="B32" s="19" t="n">
        <v>15</v>
      </c>
      <c r="C32" s="19" t="inlineStr">
        <is>
          <t>6.5%</t>
        </is>
      </c>
      <c r="D32" s="19" t="inlineStr">
        <is>
          <t>Guía de sostenibilidad</t>
        </is>
      </c>
    </row>
    <row r="33">
      <c r="A33" s="18" t="inlineStr">
        <is>
          <t>Entretenimiento</t>
        </is>
      </c>
      <c r="B33" s="19" t="n">
        <v>12</v>
      </c>
      <c r="C33" s="19" t="inlineStr">
        <is>
          <t>5.2%</t>
        </is>
      </c>
      <c r="D33" s="19" t="inlineStr">
        <is>
          <t>Behind-the-scenes</t>
        </is>
      </c>
    </row>
    <row r="34">
      <c r="A34" s="18" t="inlineStr">
        <is>
          <t>Promocional</t>
        </is>
      </c>
      <c r="B34" s="19" t="n">
        <v>10</v>
      </c>
      <c r="C34" s="19" t="inlineStr">
        <is>
          <t>4.1%</t>
        </is>
      </c>
      <c r="D34" s="19" t="inlineStr">
        <is>
          <t>Oferta verano</t>
        </is>
      </c>
    </row>
    <row r="35">
      <c r="A35" s="18" t="inlineStr">
        <is>
          <t>Comunidad</t>
        </is>
      </c>
      <c r="B35" s="19" t="n">
        <v>8</v>
      </c>
      <c r="C35" s="19" t="inlineStr">
        <is>
          <t>7.8%</t>
        </is>
      </c>
      <c r="D35" s="19" t="inlineStr">
        <is>
          <t>UGC campaign</t>
        </is>
      </c>
    </row>
  </sheetData>
  <mergeCells count="5">
    <mergeCell ref="A2:F2"/>
    <mergeCell ref="A4:D4"/>
    <mergeCell ref="A1:F1"/>
    <mergeCell ref="A30:D30"/>
    <mergeCell ref="A12:F12"/>
  </mergeCells>
  <pageMargins left="0.75" right="0.75" top="1" bottom="1" header="0.5" footer="0.5"/>
  <drawing xmlns:r="http://schemas.openxmlformats.org/officeDocument/2006/relationships" r:id="rId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5" customWidth="1" min="3" max="3"/>
    <col width="15" customWidth="1" min="4" max="4"/>
    <col width="12" customWidth="1" min="5" max="5"/>
  </cols>
  <sheetData>
    <row r="1">
      <c r="A1" s="20" t="inlineStr">
        <is>
          <t>ANÁLISIS DE RENDIMIENTO</t>
        </is>
      </c>
    </row>
    <row r="3">
      <c r="A3" s="22" t="inlineStr">
        <is>
          <t>RENDIMIENTO SEMANAL</t>
        </is>
      </c>
    </row>
    <row r="4">
      <c r="A4" s="23" t="inlineStr">
        <is>
          <t>Semana</t>
        </is>
      </c>
      <c r="B4" s="23" t="inlineStr">
        <is>
          <t>Posts</t>
        </is>
      </c>
      <c r="C4" s="23" t="inlineStr">
        <is>
          <t>Engagement</t>
        </is>
      </c>
      <c r="D4" s="23" t="inlineStr">
        <is>
          <t>Alcance</t>
        </is>
      </c>
      <c r="E4" s="23" t="inlineStr">
        <is>
          <t>Tendencia</t>
        </is>
      </c>
    </row>
    <row r="5">
      <c r="A5" s="18" t="inlineStr">
        <is>
          <t>Semana 1</t>
        </is>
      </c>
      <c r="B5" s="19" t="n">
        <v>12</v>
      </c>
      <c r="C5" s="19" t="inlineStr">
        <is>
          <t>5.1%</t>
        </is>
      </c>
      <c r="D5" s="19" t="n">
        <v>8500</v>
      </c>
      <c r="E5" s="19" t="inlineStr">
        <is>
          <t>↑</t>
        </is>
      </c>
    </row>
    <row r="6">
      <c r="A6" s="18" t="inlineStr">
        <is>
          <t>Semana 2</t>
        </is>
      </c>
      <c r="B6" s="19" t="n">
        <v>11</v>
      </c>
      <c r="C6" s="19" t="inlineStr">
        <is>
          <t>5.3%</t>
        </is>
      </c>
      <c r="D6" s="19" t="n">
        <v>9200</v>
      </c>
      <c r="E6" s="19" t="inlineStr">
        <is>
          <t>↑</t>
        </is>
      </c>
    </row>
    <row r="7">
      <c r="A7" s="18" t="inlineStr">
        <is>
          <t>Semana 3</t>
        </is>
      </c>
      <c r="B7" s="19" t="n">
        <v>13</v>
      </c>
      <c r="C7" s="19" t="inlineStr">
        <is>
          <t>5.8%</t>
        </is>
      </c>
      <c r="D7" s="19" t="n">
        <v>10500</v>
      </c>
      <c r="E7" s="19" t="inlineStr">
        <is>
          <t>↑</t>
        </is>
      </c>
    </row>
    <row r="8">
      <c r="A8" s="18" t="inlineStr">
        <is>
          <t>Semana 4</t>
        </is>
      </c>
      <c r="B8" s="19" t="n">
        <v>9</v>
      </c>
      <c r="C8" s="19" t="inlineStr">
        <is>
          <t>4.9%</t>
        </is>
      </c>
      <c r="D8" s="19" t="n">
        <v>7800</v>
      </c>
      <c r="E8" s="19" t="inlineStr">
        <is>
          <t>↓</t>
        </is>
      </c>
    </row>
  </sheetData>
  <mergeCells count="1">
    <mergeCell ref="A1:E1"/>
  </mergeCells>
  <pageMargins left="0.75" right="0.75" top="1" bottom="1" header="0.5" footer="0.5"/>
  <drawing xmlns:r="http://schemas.openxmlformats.org/officeDocument/2006/relationships" r:id="rId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cols>
    <col width="18" customWidth="1" min="1" max="1"/>
    <col width="40" customWidth="1" min="2" max="2"/>
    <col width="15" customWidth="1" min="3" max="3"/>
    <col width="30" customWidth="1" min="4" max="4"/>
    <col width="12" customWidth="1" min="5" max="5"/>
  </cols>
  <sheetData>
    <row r="1">
      <c r="A1" s="8" t="inlineStr">
        <is>
          <t>SISTEMA DE VALIDACIÓN DE CALENDARIOS</t>
        </is>
      </c>
    </row>
    <row r="3">
      <c r="A3" s="24" t="inlineStr">
        <is>
          <t>CHECKLIST DE VALIDACIÓN</t>
        </is>
      </c>
    </row>
    <row r="4">
      <c r="A4" s="23" t="inlineStr">
        <is>
          <t>Categoría</t>
        </is>
      </c>
      <c r="B4" s="23" t="inlineStr">
        <is>
          <t>Item</t>
        </is>
      </c>
      <c r="C4" s="23" t="inlineStr">
        <is>
          <t>Estado</t>
        </is>
      </c>
      <c r="D4" s="23" t="inlineStr">
        <is>
          <t>Notas</t>
        </is>
      </c>
      <c r="E4" s="23" t="inlineStr">
        <is>
          <t>Puntos</t>
        </is>
      </c>
    </row>
    <row r="5">
      <c r="A5" s="18" t="inlineStr">
        <is>
          <t>Estructura</t>
        </is>
      </c>
      <c r="B5" s="19" t="inlineStr">
        <is>
          <t>Introducción presente</t>
        </is>
      </c>
      <c r="C5" s="19" t="inlineStr"/>
      <c r="D5" s="19" t="inlineStr"/>
      <c r="E5" s="19" t="n">
        <v>5</v>
      </c>
    </row>
    <row r="6">
      <c r="A6" s="18" t="inlineStr">
        <is>
          <t>Estructura</t>
        </is>
      </c>
      <c r="B6" s="19" t="inlineStr">
        <is>
          <t>Tabla formateada correctamente</t>
        </is>
      </c>
      <c r="C6" s="19" t="inlineStr"/>
      <c r="D6" s="19" t="inlineStr"/>
      <c r="E6" s="19" t="n">
        <v>10</v>
      </c>
    </row>
    <row r="7">
      <c r="A7" s="18" t="inlineStr">
        <is>
          <t>Estructura</t>
        </is>
      </c>
      <c r="B7" s="19" t="inlineStr">
        <is>
          <t>Resumen presente</t>
        </is>
      </c>
      <c r="C7" s="19" t="inlineStr"/>
      <c r="D7" s="19" t="inlineStr"/>
      <c r="E7" s="19" t="n">
        <v>5</v>
      </c>
    </row>
    <row r="8">
      <c r="A8" s="18" t="inlineStr">
        <is>
          <t>Contenido</t>
        </is>
      </c>
      <c r="B8" s="19" t="inlineStr">
        <is>
          <t>Completitud (todos los días)</t>
        </is>
      </c>
      <c r="C8" s="19" t="inlineStr"/>
      <c r="D8" s="19" t="inlineStr"/>
      <c r="E8" s="19" t="n">
        <v>10</v>
      </c>
    </row>
    <row r="9">
      <c r="A9" s="18" t="inlineStr">
        <is>
          <t>Contenido</t>
        </is>
      </c>
      <c r="B9" s="19" t="inlineStr">
        <is>
          <t>Calidad (específico, no genérico)</t>
        </is>
      </c>
      <c r="C9" s="19" t="inlineStr"/>
      <c r="D9" s="19" t="inlineStr"/>
      <c r="E9" s="19" t="n">
        <v>10</v>
      </c>
    </row>
    <row r="10">
      <c r="A10" s="18" t="inlineStr">
        <is>
          <t>Contenido</t>
        </is>
      </c>
      <c r="B10" s="19" t="inlineStr">
        <is>
          <t>Balance (80/20 o especificado)</t>
        </is>
      </c>
      <c r="C10" s="19" t="inlineStr"/>
      <c r="D10" s="19" t="inlineStr"/>
      <c r="E10" s="19" t="n">
        <v>10</v>
      </c>
    </row>
    <row r="11">
      <c r="A11" s="18" t="inlineStr">
        <is>
          <t>Datos</t>
        </is>
      </c>
      <c r="B11" s="19" t="inlineStr">
        <is>
          <t>Fechas correctas</t>
        </is>
      </c>
      <c r="C11" s="19" t="inlineStr"/>
      <c r="D11" s="19" t="inlineStr"/>
      <c r="E11" s="19" t="n">
        <v>5</v>
      </c>
    </row>
    <row r="12">
      <c r="A12" s="18" t="inlineStr">
        <is>
          <t>Datos</t>
        </is>
      </c>
      <c r="B12" s="19" t="inlineStr">
        <is>
          <t>Horarios correctos</t>
        </is>
      </c>
      <c r="C12" s="19" t="inlineStr"/>
      <c r="D12" s="19" t="inlineStr"/>
      <c r="E12" s="19" t="n">
        <v>5</v>
      </c>
    </row>
    <row r="13">
      <c r="A13" s="18" t="inlineStr">
        <is>
          <t>Datos</t>
        </is>
      </c>
      <c r="B13" s="19" t="inlineStr">
        <is>
          <t>Plataformas correctas</t>
        </is>
      </c>
      <c r="C13" s="19" t="inlineStr"/>
      <c r="D13" s="19" t="inlineStr"/>
      <c r="E13" s="19" t="n">
        <v>5</v>
      </c>
    </row>
    <row r="14">
      <c r="A14" s="18" t="inlineStr">
        <is>
          <t>Datos</t>
        </is>
      </c>
      <c r="B14" s="19" t="inlineStr">
        <is>
          <t>Datos completos</t>
        </is>
      </c>
      <c r="C14" s="19" t="inlineStr"/>
      <c r="D14" s="19" t="inlineStr"/>
      <c r="E14" s="19" t="n">
        <v>5</v>
      </c>
    </row>
    <row r="15">
      <c r="A15" s="18" t="inlineStr">
        <is>
          <t>Estrategia</t>
        </is>
      </c>
      <c r="B15" s="19" t="inlineStr">
        <is>
          <t>Alineación con objetivos</t>
        </is>
      </c>
      <c r="C15" s="19" t="inlineStr"/>
      <c r="D15" s="19" t="inlineStr"/>
      <c r="E15" s="19" t="n">
        <v>7</v>
      </c>
    </row>
    <row r="16">
      <c r="A16" s="18" t="inlineStr">
        <is>
          <t>Estrategia</t>
        </is>
      </c>
      <c r="B16" s="19" t="inlineStr">
        <is>
          <t>Alineación con audiencia</t>
        </is>
      </c>
      <c r="C16" s="19" t="inlineStr"/>
      <c r="D16" s="19" t="inlineStr"/>
      <c r="E16" s="19" t="n">
        <v>7</v>
      </c>
    </row>
    <row r="17">
      <c r="A17" s="18" t="inlineStr">
        <is>
          <t>Estrategia</t>
        </is>
      </c>
      <c r="B17" s="19" t="inlineStr">
        <is>
          <t>Alineación con marca</t>
        </is>
      </c>
      <c r="C17" s="19" t="inlineStr"/>
      <c r="D17" s="19" t="inlineStr"/>
      <c r="E17" s="19" t="n">
        <v>6</v>
      </c>
    </row>
    <row r="18">
      <c r="A18" s="18" t="inlineStr">
        <is>
          <t>Optimización</t>
        </is>
      </c>
      <c r="B18" s="19" t="inlineStr">
        <is>
          <t>Frecuencia apropiada</t>
        </is>
      </c>
      <c r="C18" s="19" t="inlineStr"/>
      <c r="D18" s="19" t="inlineStr"/>
      <c r="E18" s="19" t="n">
        <v>3</v>
      </c>
    </row>
    <row r="19">
      <c r="A19" s="18" t="inlineStr">
        <is>
          <t>Optimización</t>
        </is>
      </c>
      <c r="B19" s="19" t="inlineStr">
        <is>
          <t>Timing optimizado</t>
        </is>
      </c>
      <c r="C19" s="19" t="inlineStr"/>
      <c r="D19" s="19" t="inlineStr"/>
      <c r="E19" s="19" t="n">
        <v>4</v>
      </c>
    </row>
    <row r="20">
      <c r="A20" s="18" t="inlineStr">
        <is>
          <t>Optimización</t>
        </is>
      </c>
      <c r="B20" s="19" t="inlineStr">
        <is>
          <t>Repurposing identificado</t>
        </is>
      </c>
      <c r="C20" s="19" t="inlineStr"/>
      <c r="D20" s="19" t="inlineStr"/>
      <c r="E20" s="19" t="n">
        <v>3</v>
      </c>
    </row>
    <row r="22">
      <c r="A22" s="25" t="inlineStr">
        <is>
          <t>SCORE TOTAL:</t>
        </is>
      </c>
      <c r="B22" s="26">
        <f>SUMAR.SI(C5:C20;"✅ Aprobado";E5:E20)</f>
        <v/>
      </c>
    </row>
    <row r="24">
      <c r="A24" s="27" t="inlineStr">
        <is>
          <t>CALIFICACIÓN:</t>
        </is>
      </c>
      <c r="B24" s="25">
        <f>SI(B22&gt;=90;"✅ Excelente";SI(B22&gt;=80;"✅ Bueno";SI(B22&gt;=70;"⚠️ Aceptable";"❌ Necesita Mejoras")))</f>
        <v/>
      </c>
    </row>
    <row r="26">
      <c r="A26" s="24" t="inlineStr">
        <is>
          <t>PROBLEMAS IDENTIFICADOS</t>
        </is>
      </c>
    </row>
    <row r="27">
      <c r="A27" s="23" t="inlineStr">
        <is>
          <t>#</t>
        </is>
      </c>
      <c r="B27" s="23" t="inlineStr">
        <is>
          <t>Problema</t>
        </is>
      </c>
      <c r="C27" s="23" t="inlineStr">
        <is>
          <t>Severidad</t>
        </is>
      </c>
      <c r="D27" s="23" t="inlineStr">
        <is>
          <t>Acción Requerida</t>
        </is>
      </c>
      <c r="E27" s="23" t="inlineStr">
        <is>
          <t>Estado</t>
        </is>
      </c>
    </row>
    <row r="28">
      <c r="A28" s="28" t="n">
        <v>1</v>
      </c>
      <c r="B28" s="19" t="n"/>
      <c r="C28" s="19" t="n"/>
      <c r="D28" s="19" t="n"/>
      <c r="E28" s="19" t="n"/>
    </row>
    <row r="29">
      <c r="A29" s="28" t="n">
        <v>2</v>
      </c>
      <c r="B29" s="19" t="n"/>
      <c r="C29" s="19" t="n"/>
      <c r="D29" s="19" t="n"/>
      <c r="E29" s="19" t="n"/>
    </row>
    <row r="30">
      <c r="A30" s="28" t="n">
        <v>3</v>
      </c>
      <c r="B30" s="19" t="n"/>
      <c r="C30" s="19" t="n"/>
      <c r="D30" s="19" t="n"/>
      <c r="E30" s="19" t="n"/>
    </row>
    <row r="31">
      <c r="A31" s="28" t="n">
        <v>4</v>
      </c>
      <c r="B31" s="19" t="n"/>
      <c r="C31" s="19" t="n"/>
      <c r="D31" s="19" t="n"/>
      <c r="E31" s="19" t="n"/>
    </row>
    <row r="32">
      <c r="A32" s="28" t="n">
        <v>5</v>
      </c>
      <c r="B32" s="19" t="n"/>
      <c r="C32" s="19" t="n"/>
      <c r="D32" s="19" t="n"/>
      <c r="E32" s="19" t="n"/>
    </row>
  </sheetData>
  <mergeCells count="3">
    <mergeCell ref="A1:E1"/>
    <mergeCell ref="A26:E26"/>
    <mergeCell ref="A3:E3"/>
  </mergeCells>
  <dataValidations count="26">
    <dataValidation sqref="C5" showDropDown="0" showInputMessage="0" showErrorMessage="0" allowBlank="0" type="list">
      <formula1>"✅ Aprobado,⚠️ Revisar,❌ Rechazado,N/A"</formula1>
    </dataValidation>
    <dataValidation sqref="C6" showDropDown="0" showInputMessage="0" showErrorMessage="0" allowBlank="0" type="list">
      <formula1>"✅ Aprobado,⚠️ Revisar,❌ Rechazado,N/A"</formula1>
    </dataValidation>
    <dataValidation sqref="C7" showDropDown="0" showInputMessage="0" showErrorMessage="0" allowBlank="0" type="list">
      <formula1>"✅ Aprobado,⚠️ Revisar,❌ Rechazado,N/A"</formula1>
    </dataValidation>
    <dataValidation sqref="C8" showDropDown="0" showInputMessage="0" showErrorMessage="0" allowBlank="0" type="list">
      <formula1>"✅ Aprobado,⚠️ Revisar,❌ Rechazado,N/A"</formula1>
    </dataValidation>
    <dataValidation sqref="C9" showDropDown="0" showInputMessage="0" showErrorMessage="0" allowBlank="0" type="list">
      <formula1>"✅ Aprobado,⚠️ Revisar,❌ Rechazado,N/A"</formula1>
    </dataValidation>
    <dataValidation sqref="C10" showDropDown="0" showInputMessage="0" showErrorMessage="0" allowBlank="0" type="list">
      <formula1>"✅ Aprobado,⚠️ Revisar,❌ Rechazado,N/A"</formula1>
    </dataValidation>
    <dataValidation sqref="C11" showDropDown="0" showInputMessage="0" showErrorMessage="0" allowBlank="0" type="list">
      <formula1>"✅ Aprobado,⚠️ Revisar,❌ Rechazado,N/A"</formula1>
    </dataValidation>
    <dataValidation sqref="C12" showDropDown="0" showInputMessage="0" showErrorMessage="0" allowBlank="0" type="list">
      <formula1>"✅ Aprobado,⚠️ Revisar,❌ Rechazado,N/A"</formula1>
    </dataValidation>
    <dataValidation sqref="C13" showDropDown="0" showInputMessage="0" showErrorMessage="0" allowBlank="0" type="list">
      <formula1>"✅ Aprobado,⚠️ Revisar,❌ Rechazado,N/A"</formula1>
    </dataValidation>
    <dataValidation sqref="C14" showDropDown="0" showInputMessage="0" showErrorMessage="0" allowBlank="0" type="list">
      <formula1>"✅ Aprobado,⚠️ Revisar,❌ Rechazado,N/A"</formula1>
    </dataValidation>
    <dataValidation sqref="C15" showDropDown="0" showInputMessage="0" showErrorMessage="0" allowBlank="0" type="list">
      <formula1>"✅ Aprobado,⚠️ Revisar,❌ Rechazado,N/A"</formula1>
    </dataValidation>
    <dataValidation sqref="C16" showDropDown="0" showInputMessage="0" showErrorMessage="0" allowBlank="0" type="list">
      <formula1>"✅ Aprobado,⚠️ Revisar,❌ Rechazado,N/A"</formula1>
    </dataValidation>
    <dataValidation sqref="C17" showDropDown="0" showInputMessage="0" showErrorMessage="0" allowBlank="0" type="list">
      <formula1>"✅ Aprobado,⚠️ Revisar,❌ Rechazado,N/A"</formula1>
    </dataValidation>
    <dataValidation sqref="C18" showDropDown="0" showInputMessage="0" showErrorMessage="0" allowBlank="0" type="list">
      <formula1>"✅ Aprobado,⚠️ Revisar,❌ Rechazado,N/A"</formula1>
    </dataValidation>
    <dataValidation sqref="C19" showDropDown="0" showInputMessage="0" showErrorMessage="0" allowBlank="0" type="list">
      <formula1>"✅ Aprobado,⚠️ Revisar,❌ Rechazado,N/A"</formula1>
    </dataValidation>
    <dataValidation sqref="C20" showDropDown="0" showInputMessage="0" showErrorMessage="0" allowBlank="0" type="list">
      <formula1>"✅ Aprobado,⚠️ Revisar,❌ Rechazado,N/A"</formula1>
    </dataValidation>
    <dataValidation sqref="C28" showDropDown="0" showInputMessage="0" showErrorMessage="0" allowBlank="0" type="list">
      <formula1>"Crítico,Alto,Medio,Bajo"</formula1>
    </dataValidation>
    <dataValidation sqref="E28" showDropDown="0" showInputMessage="0" showErrorMessage="0" allowBlank="0" type="list">
      <formula1>"Pendiente,En Progreso,Resuelto"</formula1>
    </dataValidation>
    <dataValidation sqref="C29" showDropDown="0" showInputMessage="0" showErrorMessage="0" allowBlank="0" type="list">
      <formula1>"Crítico,Alto,Medio,Bajo"</formula1>
    </dataValidation>
    <dataValidation sqref="E29" showDropDown="0" showInputMessage="0" showErrorMessage="0" allowBlank="0" type="list">
      <formula1>"Pendiente,En Progreso,Resuelto"</formula1>
    </dataValidation>
    <dataValidation sqref="C30" showDropDown="0" showInputMessage="0" showErrorMessage="0" allowBlank="0" type="list">
      <formula1>"Crítico,Alto,Medio,Bajo"</formula1>
    </dataValidation>
    <dataValidation sqref="E30" showDropDown="0" showInputMessage="0" showErrorMessage="0" allowBlank="0" type="list">
      <formula1>"Pendiente,En Progreso,Resuelto"</formula1>
    </dataValidation>
    <dataValidation sqref="C31" showDropDown="0" showInputMessage="0" showErrorMessage="0" allowBlank="0" type="list">
      <formula1>"Crítico,Alto,Medio,Bajo"</formula1>
    </dataValidation>
    <dataValidation sqref="E31" showDropDown="0" showInputMessage="0" showErrorMessage="0" allowBlank="0" type="list">
      <formula1>"Pendiente,En Progreso,Resuelto"</formula1>
    </dataValidation>
    <dataValidation sqref="C32" showDropDown="0" showInputMessage="0" showErrorMessage="0" allowBlank="0" type="list">
      <formula1>"Crítico,Alto,Medio,Bajo"</formula1>
    </dataValidation>
    <dataValidation sqref="E32" showDropDown="0" showInputMessage="0" showErrorMessage="0" allowBlank="0" type="list">
      <formula1>"Pendiente,En Progreso,Resuelto"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2025-11-22T07:51:53Z</dcterms:created>
  <dcterms:modified xmlns:dcterms="http://purl.org/dc/terms/" xmlns:xsi="http://www.w3.org/2001/XMLSchema-instance" xsi:type="dcterms:W3CDTF">2025-11-22T08:15:17Z</dcterms:modified>
</cp:coreProperties>
</file>