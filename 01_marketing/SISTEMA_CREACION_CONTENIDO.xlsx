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en Ejecutivo" sheetId="1" state="visible" r:id="rId1"/>
    <sheet xmlns:r="http://schemas.openxmlformats.org/officeDocument/2006/relationships" name="🎯 Dashboard" sheetId="2" state="visible" r:id="rId2"/>
    <sheet xmlns:r="http://schemas.openxmlformats.org/officeDocument/2006/relationships" name="📋 Datos Detallados" sheetId="3" state="visible" r:id="rId3"/>
    <sheet xmlns:r="http://schemas.openxmlformats.org/officeDocument/2006/relationships" name="📈 Análisis y Métricas" sheetId="4" state="visible" r:id="rId4"/>
    <sheet xmlns:r="http://schemas.openxmlformats.org/officeDocument/2006/relationships" name="📊 Gráficos" sheetId="5" state="visible" r:id="rId5"/>
    <sheet xmlns:r="http://schemas.openxmlformats.org/officeDocument/2006/relationships" name="📚 Apéndices" sheetId="6" state="visible" r:id="rId6"/>
    <sheet xmlns:r="http://schemas.openxmlformats.org/officeDocument/2006/relationships" name="⚙️ Configuración" sheetId="7" state="visible" r:id="rId7"/>
    <sheet xmlns:r="http://schemas.openxmlformats.org/officeDocument/2006/relationships" name="💰 ROI &amp; Costos" sheetId="8" state="visible" r:id="rId8"/>
    <sheet xmlns:r="http://schemas.openxmlformats.org/officeDocument/2006/relationships" name="🔮 Análisis Predictivo" sheetId="9" state="visible" r:id="rId9"/>
    <sheet xmlns:r="http://schemas.openxmlformats.org/officeDocument/2006/relationships" name="📝 Plantillas" sheetId="10" state="visible" r:id="rId10"/>
  </sheets>
  <definedNames>
    <definedName name="_xlnm._FilterDatabase" localSheetId="2" hidden="1">'📋 Datos Detallados'!$A$1:$F$9</definedName>
    <definedName name="_xlnm._FilterDatabase" localSheetId="5" hidden="1">'📚 Apéndices'!$A$1:$D$15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374151"/>
      <sz val="12"/>
    </font>
    <font>
      <color rgb="00374151"/>
      <sz val="10"/>
    </font>
    <font>
      <b val="1"/>
      <color rgb="00000000"/>
      <sz val="11"/>
    </font>
    <font>
      <b val="1"/>
      <color rgb="00FFFFFF"/>
    </font>
    <font>
      <b val="1"/>
      <color rgb="0010b981"/>
      <sz val="14"/>
    </font>
  </fonts>
  <fills count="5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374151"/>
        <bgColor rgb="00374151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10" fontId="0" fillId="4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Comparación de Métricas: 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Análisis y Métricas'!B3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Análisis y Métricas'!$A$4:$A$13</f>
            </numRef>
          </cat>
          <val>
            <numRef>
              <f>'📈 Análisis y Métricas'!$B$4:$B$12</f>
            </numRef>
          </val>
        </ser>
        <ser>
          <idx val="1"/>
          <order val="1"/>
          <tx>
            <strRef>
              <f>'📈 Análisis y Métricas'!C3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Análisis y Métricas'!$A$4:$A$13</f>
            </numRef>
          </cat>
          <val>
            <numRef>
              <f>'📈 Análisis y Métricas'!$C$4:$C$12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Correlación: Tiempo vs Calidad</a:t>
            </a:r>
          </a:p>
        </rich>
      </tx>
    </title>
    <plotArea>
      <scatterChart>
        <ser>
          <idx val="0"/>
          <order val="0"/>
          <tx>
            <strRef>
              <f>'📈 Análisis y Métricas'!B4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de Producción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Tasa de Aprobación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Contenido Generado</a:t>
            </a:r>
          </a:p>
        </rich>
      </tx>
    </title>
    <plotArea>
      <pieChart>
        <varyColors val="1"/>
        <ser>
          <idx val="0"/>
          <order val="0"/>
          <tx>
            <strRef>
              <f>'📊 Gráficos'!B1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Gráficos'!$A$2:$A$9</f>
            </numRef>
          </cat>
          <val>
            <numRef>
              <f>'📊 Gráficos'!$B$2:$B$9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Tendencias: Contenido y Aprobación</a:t>
            </a:r>
          </a:p>
        </rich>
      </tx>
    </title>
    <plotArea>
      <lineChart>
        <grouping val="standard"/>
        <ser>
          <idx val="0"/>
          <order val="0"/>
          <tx>
            <strRef>
              <f>'📊 Gráficos'!B15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Gráficos'!$A$16:$A$21</f>
            </numRef>
          </cat>
          <val>
            <numRef>
              <f>'📊 Gráficos'!$B$16:$B$21</f>
            </numRef>
          </val>
        </ser>
        <ser>
          <idx val="1"/>
          <order val="1"/>
          <tx>
            <strRef>
              <f>'📊 Gráficos'!C15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Gráficos'!$A$16:$A$21</f>
            </numRef>
          </cat>
          <val>
            <numRef>
              <f>'📊 Gráficos'!$C$16:$C$21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Sistema</author>
  </authors>
  <commentList>
    <comment ref="B4" authorId="0" shapeId="0">
      <text>
        <t>Cuenta tipos de contenido</t>
      </text>
    </comment>
    <comment ref="B5" authorId="0" shapeId="0">
      <text>
        <t>Suma de todo el contenido</t>
      </text>
    </comment>
    <comment ref="B6" authorId="0" shapeId="0">
      <text>
        <t>Última tasa de aprobación</t>
      </text>
    </comment>
    <comment ref="B7" authorId="0" shapeId="0">
      <text>
        <t>Promedio de todas las métricas</t>
      </text>
    </comment>
    <comment ref="B8" authorId="0" shapeId="0">
      <text>
        <t>Valor máximo de métricas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5" customWidth="1" min="4" max="4"/>
    <col width="18" customWidth="1" min="5" max="5"/>
    <col width="25" customWidth="1" min="6" max="6"/>
  </cols>
  <sheetData>
    <row r="1" ht="40" customHeight="1">
      <c r="A1" s="1" t="inlineStr">
        <is>
          <t>✍️ Sistema de Creación de Contenido</t>
        </is>
      </c>
    </row>
    <row r="2">
      <c r="A2" s="2" t="inlineStr">
        <is>
          <t>Variante Tech Startup - Resumen Ejecutivo</t>
        </is>
      </c>
    </row>
    <row r="3">
      <c r="A3" s="3" t="inlineStr">
        <is>
          <t>Generado: 22/11/2025 02:28</t>
        </is>
      </c>
    </row>
    <row r="5">
      <c r="A5" s="4" t="inlineStr">
        <is>
          <t>KPI</t>
        </is>
      </c>
      <c r="B5" s="4" t="inlineStr">
        <is>
          <t>Valor</t>
        </is>
      </c>
      <c r="C5" s="4" t="inlineStr">
        <is>
          <t>Tendencia</t>
        </is>
      </c>
      <c r="D5" s="4" t="inlineStr">
        <is>
          <t>Meta</t>
        </is>
      </c>
      <c r="E5" s="4" t="inlineStr">
        <is>
          <t>Estado</t>
        </is>
      </c>
      <c r="F5" s="4" t="inlineStr">
        <is>
          <t>Cálculo</t>
        </is>
      </c>
    </row>
    <row r="6">
      <c r="A6" s="5" t="inlineStr">
        <is>
          <t>Tipos de Contenido Soportados</t>
        </is>
      </c>
      <c r="B6" s="6" t="n">
        <v>8</v>
      </c>
      <c r="C6" s="6" t="inlineStr">
        <is>
          <t>↑</t>
        </is>
      </c>
      <c r="D6" s="6" t="n">
        <v>10</v>
      </c>
      <c r="E6" s="6" t="inlineStr">
        <is>
          <t>En Progreso</t>
        </is>
      </c>
      <c r="F6" s="6">
        <f>CONTAR.SI(Datos!A:A,"*")</f>
        <v/>
      </c>
    </row>
    <row r="7">
      <c r="A7" s="7" t="inlineStr">
        <is>
          <t>Formatos de Salida</t>
        </is>
      </c>
      <c r="B7" s="8" t="n">
        <v>4</v>
      </c>
      <c r="C7" s="8" t="inlineStr">
        <is>
          <t>→</t>
        </is>
      </c>
      <c r="D7" s="8" t="n">
        <v>4</v>
      </c>
      <c r="E7" s="8" t="inlineStr">
        <is>
          <t>Completo</t>
        </is>
      </c>
      <c r="F7" s="8">
        <f>CONTAR.SI(Formatos!A:A,"*")</f>
        <v/>
      </c>
    </row>
    <row r="8">
      <c r="A8" s="5" t="inlineStr">
        <is>
          <t>Reglas de Formato</t>
        </is>
      </c>
      <c r="B8" s="6" t="n">
        <v>15</v>
      </c>
      <c r="C8" s="6" t="inlineStr">
        <is>
          <t>↑</t>
        </is>
      </c>
      <c r="D8" s="6" t="n">
        <v>20</v>
      </c>
      <c r="E8" s="6" t="inlineStr">
        <is>
          <t>En Progreso</t>
        </is>
      </c>
      <c r="F8" s="6">
        <f>CONTAR.SI(Reglas!A:A,"*")</f>
        <v/>
      </c>
    </row>
    <row r="9">
      <c r="A9" s="7" t="inlineStr">
        <is>
          <t>Restricciones Críticas</t>
        </is>
      </c>
      <c r="B9" s="8" t="n">
        <v>12</v>
      </c>
      <c r="C9" s="8" t="inlineStr">
        <is>
          <t>→</t>
        </is>
      </c>
      <c r="D9" s="8" t="n">
        <v>12</v>
      </c>
      <c r="E9" s="8" t="inlineStr">
        <is>
          <t>Completo</t>
        </is>
      </c>
      <c r="F9" s="8">
        <f>CONTAR.SI(Restricciones!A:A,"*")</f>
        <v/>
      </c>
    </row>
    <row r="10">
      <c r="A10" s="5" t="inlineStr">
        <is>
          <t>Tasa de Éxito</t>
        </is>
      </c>
      <c r="B10" s="6" t="inlineStr">
        <is>
          <t>95%</t>
        </is>
      </c>
      <c r="C10" s="6" t="inlineStr">
        <is>
          <t>↑</t>
        </is>
      </c>
      <c r="D10" s="6" t="inlineStr">
        <is>
          <t>98%</t>
        </is>
      </c>
      <c r="E10" s="6" t="inlineStr">
        <is>
          <t>Excelente</t>
        </is>
      </c>
      <c r="F10" s="6">
        <f>PROMEDIO(Métricas!B2:B10)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0" customWidth="1" min="3" max="3"/>
  </cols>
  <sheetData>
    <row r="1" ht="45" customHeight="1">
      <c r="A1" s="9" t="inlineStr">
        <is>
          <t>📊 Dashboard Interactivo - Sistema de Creación de Contenido</t>
        </is>
      </c>
    </row>
    <row r="3">
      <c r="A3" s="4" t="inlineStr">
        <is>
          <t>Métrica</t>
        </is>
      </c>
      <c r="B3" s="4" t="inlineStr">
        <is>
          <t>Valor</t>
        </is>
      </c>
      <c r="C3" s="4" t="inlineStr">
        <is>
          <t>Fórmula</t>
        </is>
      </c>
    </row>
    <row r="4">
      <c r="A4" s="10" t="inlineStr">
        <is>
          <t>Total Tipos Contenido</t>
        </is>
      </c>
      <c r="B4" s="11">
        <f>CONTAR.SI('📋 Datos Detallados'!A:A,"*")-1</f>
        <v/>
      </c>
      <c r="C4" s="10" t="inlineStr">
        <is>
          <t>Cuenta tipos de contenido</t>
        </is>
      </c>
    </row>
    <row r="5">
      <c r="A5" s="12" t="inlineStr">
        <is>
          <t>Contenido Total/Mes</t>
        </is>
      </c>
      <c r="B5" s="13">
        <f>SUMA('📊 Gráficos'!B2:B9)</f>
        <v/>
      </c>
      <c r="C5" s="12" t="inlineStr">
        <is>
          <t>Suma de todo el contenido</t>
        </is>
      </c>
    </row>
    <row r="6">
      <c r="A6" s="10" t="inlineStr">
        <is>
          <t>Tasa Aprobación Actual</t>
        </is>
      </c>
      <c r="B6" s="11">
        <f>INDICE('📈 Análisis y Métricas'!B:B,4)</f>
        <v/>
      </c>
      <c r="C6" s="10" t="inlineStr">
        <is>
          <t>Última tasa de aprobación</t>
        </is>
      </c>
    </row>
    <row r="7">
      <c r="A7" s="12" t="inlineStr">
        <is>
          <t>Promedio Satisfacción</t>
        </is>
      </c>
      <c r="B7" s="13">
        <f>PROMEDIO('📈 Análisis y Métricas'!B4:B12)</f>
        <v/>
      </c>
      <c r="C7" s="12" t="inlineStr">
        <is>
          <t>Promedio de todas las métricas</t>
        </is>
      </c>
    </row>
    <row r="8">
      <c r="A8" s="10" t="inlineStr">
        <is>
          <t>Máxima Tasa Conversión</t>
        </is>
      </c>
      <c r="B8" s="11">
        <f>MAX('📈 Análisis y Métricas'!B4:B12)</f>
        <v/>
      </c>
      <c r="C8" s="10" t="inlineStr">
        <is>
          <t>Valor máximo de métricas</t>
        </is>
      </c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  <col width="18" customWidth="1" min="4" max="4"/>
    <col width="18" customWidth="1" min="5" max="5"/>
    <col width="15" customWidth="1" min="6" max="6"/>
    <col width="18" customWidth="1" min="7" max="7"/>
  </cols>
  <sheetData>
    <row r="1">
      <c r="A1" s="14" t="inlineStr">
        <is>
          <t>Tipo de Contenido</t>
        </is>
      </c>
      <c r="B1" s="14" t="inlineStr">
        <is>
          <t>Características</t>
        </is>
      </c>
      <c r="C1" s="14" t="inlineStr">
        <is>
          <t>Plataforma</t>
        </is>
      </c>
      <c r="D1" s="14" t="inlineStr">
        <is>
          <t>Longitud Promedio</t>
        </is>
      </c>
      <c r="E1" s="14" t="inlineStr">
        <is>
          <t>Tiempo Producción</t>
        </is>
      </c>
      <c r="F1" s="14" t="inlineStr">
        <is>
          <t>Prioridad</t>
        </is>
      </c>
      <c r="G1" s="14" t="inlineStr">
        <is>
          <t>Score Calculado</t>
        </is>
      </c>
    </row>
    <row r="2">
      <c r="A2" s="10" t="inlineStr">
        <is>
          <t>Blog Articles</t>
        </is>
      </c>
      <c r="B2" s="10" t="inlineStr">
        <is>
          <t>Artículos largos y detallados</t>
        </is>
      </c>
      <c r="C2" s="11" t="inlineStr">
        <is>
          <t>Web</t>
        </is>
      </c>
      <c r="D2" s="11" t="inlineStr">
        <is>
          <t>2000-5000</t>
        </is>
      </c>
      <c r="E2" s="11" t="inlineStr">
        <is>
          <t>2-4h</t>
        </is>
      </c>
      <c r="F2" s="11" t="inlineStr">
        <is>
          <t>Alta</t>
        </is>
      </c>
      <c r="G2" s="15">
        <f>SI(F2="Alta",3,SI(F2="Media",2,1))</f>
        <v/>
      </c>
    </row>
    <row r="3">
      <c r="A3" s="12" t="inlineStr">
        <is>
          <t>Social Media</t>
        </is>
      </c>
      <c r="B3" s="12" t="inlineStr">
        <is>
          <t>Contenido conciso optimizado</t>
        </is>
      </c>
      <c r="C3" s="13" t="inlineStr">
        <is>
          <t>Instagram/Twitter</t>
        </is>
      </c>
      <c r="D3" s="13" t="inlineStr">
        <is>
          <t>50-280</t>
        </is>
      </c>
      <c r="E3" s="13" t="inlineStr">
        <is>
          <t>15-30min</t>
        </is>
      </c>
      <c r="F3" s="13" t="inlineStr">
        <is>
          <t>Alta</t>
        </is>
      </c>
      <c r="G3" s="16">
        <f>SI(F3="Alta",3,SI(F3="Media",2,1))</f>
        <v/>
      </c>
    </row>
    <row r="4">
      <c r="A4" s="10" t="inlineStr">
        <is>
          <t>Email Marketing</t>
        </is>
      </c>
      <c r="B4" s="10" t="inlineStr">
        <is>
          <t>Mensajes con CTAs fuertes</t>
        </is>
      </c>
      <c r="C4" s="11" t="inlineStr">
        <is>
          <t>Email</t>
        </is>
      </c>
      <c r="D4" s="11" t="inlineStr">
        <is>
          <t>100-500</t>
        </is>
      </c>
      <c r="E4" s="11" t="inlineStr">
        <is>
          <t>30-60min</t>
        </is>
      </c>
      <c r="F4" s="11" t="inlineStr">
        <is>
          <t>Media</t>
        </is>
      </c>
      <c r="G4" s="15">
        <f>SI(F4="Alta",3,SI(F4="Media",2,1))</f>
        <v/>
      </c>
    </row>
    <row r="5">
      <c r="A5" s="12" t="inlineStr">
        <is>
          <t>Landing Pages</t>
        </is>
      </c>
      <c r="B5" s="12" t="inlineStr">
        <is>
          <t>Copy persuasivo conversión</t>
        </is>
      </c>
      <c r="C5" s="13" t="inlineStr">
        <is>
          <t>Web</t>
        </is>
      </c>
      <c r="D5" s="13" t="inlineStr">
        <is>
          <t>500-1500</t>
        </is>
      </c>
      <c r="E5" s="13" t="inlineStr">
        <is>
          <t>1-2h</t>
        </is>
      </c>
      <c r="F5" s="13" t="inlineStr">
        <is>
          <t>Alta</t>
        </is>
      </c>
      <c r="G5" s="16">
        <f>SI(F5="Alta",3,SI(F5="Media",2,1))</f>
        <v/>
      </c>
    </row>
    <row r="6">
      <c r="A6" s="10" t="inlineStr">
        <is>
          <t>Copywriting</t>
        </is>
      </c>
      <c r="B6" s="10" t="inlineStr">
        <is>
          <t>Lenguaje persuasivo</t>
        </is>
      </c>
      <c r="C6" s="11" t="inlineStr">
        <is>
          <t>Multi-plataforma</t>
        </is>
      </c>
      <c r="D6" s="11" t="inlineStr">
        <is>
          <t>100-1000</t>
        </is>
      </c>
      <c r="E6" s="11" t="inlineStr">
        <is>
          <t>1-3h</t>
        </is>
      </c>
      <c r="F6" s="11" t="inlineStr">
        <is>
          <t>Alta</t>
        </is>
      </c>
      <c r="G6" s="15">
        <f>SI(F6="Alta",3,SI(F6="Media",2,1))</f>
        <v/>
      </c>
    </row>
    <row r="7">
      <c r="A7" s="12" t="inlineStr">
        <is>
          <t>Product Descriptions</t>
        </is>
      </c>
      <c r="B7" s="12" t="inlineStr">
        <is>
          <t>Características y beneficios</t>
        </is>
      </c>
      <c r="C7" s="13" t="inlineStr">
        <is>
          <t>E-commerce</t>
        </is>
      </c>
      <c r="D7" s="13" t="inlineStr">
        <is>
          <t>100-300</t>
        </is>
      </c>
      <c r="E7" s="13" t="inlineStr">
        <is>
          <t>20-40min</t>
        </is>
      </c>
      <c r="F7" s="13" t="inlineStr">
        <is>
          <t>Media</t>
        </is>
      </c>
      <c r="G7" s="16">
        <f>SI(F7="Alta",3,SI(F7="Media",2,1))</f>
        <v/>
      </c>
    </row>
    <row r="8">
      <c r="A8" s="10" t="inlineStr">
        <is>
          <t>SEO Content</t>
        </is>
      </c>
      <c r="B8" s="10" t="inlineStr">
        <is>
          <t>Optimizado con keywords</t>
        </is>
      </c>
      <c r="C8" s="11" t="inlineStr">
        <is>
          <t>Web</t>
        </is>
      </c>
      <c r="D8" s="11" t="inlineStr">
        <is>
          <t>1500-3000</t>
        </is>
      </c>
      <c r="E8" s="11" t="inlineStr">
        <is>
          <t>2-3h</t>
        </is>
      </c>
      <c r="F8" s="11" t="inlineStr">
        <is>
          <t>Alta</t>
        </is>
      </c>
      <c r="G8" s="15">
        <f>SI(F8="Alta",3,SI(F8="Media",2,1))</f>
        <v/>
      </c>
    </row>
    <row r="9">
      <c r="A9" s="12" t="inlineStr">
        <is>
          <t>Technical Docs</t>
        </is>
      </c>
      <c r="B9" s="12" t="inlineStr">
        <is>
          <t>Documentación con código</t>
        </is>
      </c>
      <c r="C9" s="13" t="inlineStr">
        <is>
          <t>Web/GitHub</t>
        </is>
      </c>
      <c r="D9" s="13" t="inlineStr">
        <is>
          <t>1000-5000</t>
        </is>
      </c>
      <c r="E9" s="13" t="inlineStr">
        <is>
          <t>3-6h</t>
        </is>
      </c>
      <c r="F9" s="13" t="inlineStr">
        <is>
          <t>Media</t>
        </is>
      </c>
      <c r="G9" s="16">
        <f>SI(F9="Alta",3,SI(F9="Media",2,1))</f>
        <v/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5" customWidth="1" min="4" max="4"/>
  </cols>
  <sheetData>
    <row r="1">
      <c r="A1" s="17" t="inlineStr">
        <is>
          <t>Métricas de Rendimiento del Sistema</t>
        </is>
      </c>
    </row>
    <row r="3">
      <c r="A3" s="4" t="inlineStr">
        <is>
          <t>Métrica</t>
        </is>
      </c>
      <c r="B3" s="4" t="inlineStr">
        <is>
          <t>Valor Actual</t>
        </is>
      </c>
      <c r="C3" s="4" t="inlineStr">
        <is>
          <t>Valor Anterior</t>
        </is>
      </c>
      <c r="D3" s="4" t="inlineStr">
        <is>
          <t>Cambio %</t>
        </is>
      </c>
    </row>
    <row r="4">
      <c r="A4" s="5" t="inlineStr">
        <is>
          <t>Tasa de Aprobación</t>
        </is>
      </c>
      <c r="B4" s="6" t="n">
        <v>95</v>
      </c>
      <c r="C4" s="6" t="n">
        <v>92</v>
      </c>
      <c r="D4" s="18">
        <f>((B4-C4)/C4)*100</f>
        <v/>
      </c>
    </row>
    <row r="5">
      <c r="A5" s="7" t="inlineStr">
        <is>
          <t>Tiempo Promedio Producción</t>
        </is>
      </c>
      <c r="B5" s="8" t="n">
        <v>2.5</v>
      </c>
      <c r="C5" s="8" t="n">
        <v>3.2</v>
      </c>
      <c r="D5" s="19">
        <f>((B5-C5)/C5)*100</f>
        <v/>
      </c>
    </row>
    <row r="6">
      <c r="A6" s="5" t="inlineStr">
        <is>
          <t>Satisfacción Usuario</t>
        </is>
      </c>
      <c r="B6" s="6" t="n">
        <v>4.8</v>
      </c>
      <c r="C6" s="6" t="n">
        <v>4.6</v>
      </c>
      <c r="D6" s="18">
        <f>((B6-C6)/C6)*100</f>
        <v/>
      </c>
    </row>
    <row r="7">
      <c r="A7" s="7" t="inlineStr">
        <is>
          <t>Contenido Generado/Mes</t>
        </is>
      </c>
      <c r="B7" s="8" t="n">
        <v>450</v>
      </c>
      <c r="C7" s="8" t="n">
        <v>380</v>
      </c>
      <c r="D7" s="19">
        <f>((B7-C7)/C7)*100</f>
        <v/>
      </c>
    </row>
    <row r="8">
      <c r="A8" s="5" t="inlineStr">
        <is>
          <t>Tasa de Conversión</t>
        </is>
      </c>
      <c r="B8" s="6" t="n">
        <v>12.5</v>
      </c>
      <c r="C8" s="6" t="n">
        <v>11.2</v>
      </c>
      <c r="D8" s="18">
        <f>((B8-C8)/C8)*100</f>
        <v/>
      </c>
    </row>
    <row r="9">
      <c r="A9" s="7" t="inlineStr">
        <is>
          <t>Engagement Rate</t>
        </is>
      </c>
      <c r="B9" s="8" t="n">
        <v>8.300000000000001</v>
      </c>
      <c r="C9" s="8" t="n">
        <v>7.5</v>
      </c>
      <c r="D9" s="19">
        <f>((B9-C9)/C9)*100</f>
        <v/>
      </c>
    </row>
    <row r="10">
      <c r="A10" s="5" t="inlineStr">
        <is>
          <t>SEO Ranking Promedio</t>
        </is>
      </c>
      <c r="B10" s="6" t="n">
        <v>4.2</v>
      </c>
      <c r="C10" s="6" t="n">
        <v>3.8</v>
      </c>
      <c r="D10" s="18">
        <f>((B10-C10)/C10)*100</f>
        <v/>
      </c>
    </row>
    <row r="11">
      <c r="A11" s="7" t="inlineStr">
        <is>
          <t>Tiempo de Respuesta</t>
        </is>
      </c>
      <c r="B11" s="8" t="n">
        <v>0.8</v>
      </c>
      <c r="C11" s="8" t="n">
        <v>1.2</v>
      </c>
      <c r="D11" s="19">
        <f>((B11-C11)/C11)*100</f>
        <v/>
      </c>
    </row>
    <row r="12">
      <c r="A12" s="5" t="inlineStr">
        <is>
          <t>Precisión Brand Voice</t>
        </is>
      </c>
      <c r="B12" s="6" t="n">
        <v>96</v>
      </c>
      <c r="C12" s="6" t="n">
        <v>94</v>
      </c>
      <c r="D12" s="18">
        <f>((B12-C12)/C12)*100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0" t="inlineStr">
        <is>
          <t>Tipo</t>
        </is>
      </c>
      <c r="B1" s="20" t="inlineStr">
        <is>
          <t>Cantidad Mensual</t>
        </is>
      </c>
    </row>
    <row r="2">
      <c r="A2" t="inlineStr">
        <is>
          <t>Blog Articles</t>
        </is>
      </c>
      <c r="B2" t="n">
        <v>120</v>
      </c>
    </row>
    <row r="3">
      <c r="A3" t="inlineStr">
        <is>
          <t>Social Media</t>
        </is>
      </c>
      <c r="B3" t="n">
        <v>200</v>
      </c>
    </row>
    <row r="4">
      <c r="A4" t="inlineStr">
        <is>
          <t>Email Marketing</t>
        </is>
      </c>
      <c r="B4" t="n">
        <v>80</v>
      </c>
    </row>
    <row r="5">
      <c r="A5" t="inlineStr">
        <is>
          <t>Landing Pages</t>
        </is>
      </c>
      <c r="B5" t="n">
        <v>30</v>
      </c>
    </row>
    <row r="6">
      <c r="A6" t="inlineStr">
        <is>
          <t>Copywriting</t>
        </is>
      </c>
      <c r="B6" t="n">
        <v>50</v>
      </c>
    </row>
    <row r="7">
      <c r="A7" t="inlineStr">
        <is>
          <t>Product Descriptions</t>
        </is>
      </c>
      <c r="B7" t="n">
        <v>100</v>
      </c>
    </row>
    <row r="8">
      <c r="A8" t="inlineStr">
        <is>
          <t>SEO Content</t>
        </is>
      </c>
      <c r="B8" t="n">
        <v>90</v>
      </c>
    </row>
    <row r="9">
      <c r="A9" t="inlineStr">
        <is>
          <t>Technical Docs</t>
        </is>
      </c>
      <c r="B9" t="n">
        <v>40</v>
      </c>
    </row>
    <row r="15">
      <c r="A15" s="21" t="inlineStr">
        <is>
          <t>Mes</t>
        </is>
      </c>
      <c r="B15" s="21" t="inlineStr">
        <is>
          <t>Contenido Generado</t>
        </is>
      </c>
      <c r="C15" s="21" t="inlineStr">
        <is>
          <t>Tasa Aprobación</t>
        </is>
      </c>
    </row>
    <row r="16">
      <c r="A16" t="inlineStr">
        <is>
          <t>Ene</t>
        </is>
      </c>
      <c r="B16" t="n">
        <v>350</v>
      </c>
      <c r="C16" t="n">
        <v>92</v>
      </c>
    </row>
    <row r="17">
      <c r="A17" t="inlineStr">
        <is>
          <t>Feb</t>
        </is>
      </c>
      <c r="B17" t="n">
        <v>380</v>
      </c>
      <c r="C17" t="n">
        <v>93</v>
      </c>
    </row>
    <row r="18">
      <c r="A18" t="inlineStr">
        <is>
          <t>Mar</t>
        </is>
      </c>
      <c r="B18" t="n">
        <v>410</v>
      </c>
      <c r="C18" t="n">
        <v>94</v>
      </c>
    </row>
    <row r="19">
      <c r="A19" t="inlineStr">
        <is>
          <t>Abr</t>
        </is>
      </c>
      <c r="B19" t="n">
        <v>430</v>
      </c>
      <c r="C19" t="n">
        <v>94.5</v>
      </c>
    </row>
    <row r="20">
      <c r="A20" t="inlineStr">
        <is>
          <t>May</t>
        </is>
      </c>
      <c r="B20" t="n">
        <v>450</v>
      </c>
      <c r="C20" t="n">
        <v>95</v>
      </c>
    </row>
    <row r="21">
      <c r="A21" t="inlineStr">
        <is>
          <t>Jun</t>
        </is>
      </c>
      <c r="B21" t="n">
        <v>470</v>
      </c>
      <c r="C21" t="n">
        <v>95.5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  <col width="25" customWidth="1" min="4" max="4"/>
  </cols>
  <sheetData>
    <row r="1">
      <c r="A1" s="14" t="inlineStr">
        <is>
          <t>Categoría</t>
        </is>
      </c>
      <c r="B1" s="14" t="inlineStr">
        <is>
          <t>Elemento</t>
        </is>
      </c>
      <c r="C1" s="14" t="inlineStr">
        <is>
          <t>Descripción</t>
        </is>
      </c>
      <c r="D1" s="14" t="inlineStr">
        <is>
          <t>Referencia</t>
        </is>
      </c>
    </row>
    <row r="2">
      <c r="A2" s="10" t="inlineStr">
        <is>
          <t>Formatos</t>
        </is>
      </c>
      <c r="B2" s="10" t="inlineStr">
        <is>
          <t>Word (.docx)</t>
        </is>
      </c>
      <c r="C2" s="10" t="inlineStr">
        <is>
          <t>Documentos con estilos personalizados</t>
        </is>
      </c>
      <c r="D2" s="10" t="inlineStr">
        <is>
          <t>Hoja: Formatos</t>
        </is>
      </c>
    </row>
    <row r="3">
      <c r="A3" s="12" t="inlineStr">
        <is>
          <t>Formatos</t>
        </is>
      </c>
      <c r="B3" s="12" t="inlineStr">
        <is>
          <t>PDF</t>
        </is>
      </c>
      <c r="C3" s="12" t="inlineStr">
        <is>
          <t>Alta calidad con marcadores</t>
        </is>
      </c>
      <c r="D3" s="12" t="inlineStr">
        <is>
          <t>Hoja: Formatos</t>
        </is>
      </c>
    </row>
    <row r="4">
      <c r="A4" s="10" t="inlineStr">
        <is>
          <t>Formatos</t>
        </is>
      </c>
      <c r="B4" s="10" t="inlineStr">
        <is>
          <t>Markdown (.md)</t>
        </is>
      </c>
      <c r="C4" s="10" t="inlineStr">
        <is>
          <t>Sintaxis extendida</t>
        </is>
      </c>
      <c r="D4" s="10" t="inlineStr">
        <is>
          <t>Hoja: Formatos</t>
        </is>
      </c>
    </row>
    <row r="5">
      <c r="A5" s="12" t="inlineStr">
        <is>
          <t>Formatos</t>
        </is>
      </c>
      <c r="B5" s="12" t="inlineStr">
        <is>
          <t>Excel (.xlsx)</t>
        </is>
      </c>
      <c r="C5" s="12" t="inlineStr">
        <is>
          <t>Múltiples hojas y fórmulas</t>
        </is>
      </c>
      <c r="D5" s="12" t="inlineStr">
        <is>
          <t>Hoja: Formatos</t>
        </is>
      </c>
    </row>
    <row r="6">
      <c r="A6" s="10" t="inlineStr">
        <is>
          <t>Reglas</t>
        </is>
      </c>
      <c r="B6" s="10" t="inlineStr">
        <is>
          <t>Inicio de Contenido</t>
        </is>
      </c>
      <c r="C6" s="10" t="inlineStr">
        <is>
          <t>Hook o resumen, nunca header</t>
        </is>
      </c>
      <c r="D6" s="10" t="inlineStr">
        <is>
          <t>Hoja: Reglas</t>
        </is>
      </c>
    </row>
    <row r="7">
      <c r="A7" s="12" t="inlineStr">
        <is>
          <t>Reglas</t>
        </is>
      </c>
      <c r="B7" s="12" t="inlineStr">
        <is>
          <t>Encabezados</t>
        </is>
      </c>
      <c r="C7" s="12" t="inlineStr">
        <is>
          <t>Nivel 2 (##) para secciones</t>
        </is>
      </c>
      <c r="D7" s="12" t="inlineStr">
        <is>
          <t>Hoja: Reglas</t>
        </is>
      </c>
    </row>
    <row r="8">
      <c r="A8" s="10" t="inlineStr">
        <is>
          <t>Reglas</t>
        </is>
      </c>
      <c r="B8" s="10" t="inlineStr">
        <is>
          <t>Listas</t>
        </is>
      </c>
      <c r="C8" s="10" t="inlineStr">
        <is>
          <t>Planas, sin anidar</t>
        </is>
      </c>
      <c r="D8" s="10" t="inlineStr">
        <is>
          <t>Hoja: Reglas</t>
        </is>
      </c>
    </row>
    <row r="9">
      <c r="A9" s="12" t="inlineStr">
        <is>
          <t>Reglas</t>
        </is>
      </c>
      <c r="B9" s="12" t="inlineStr">
        <is>
          <t>Tablas</t>
        </is>
      </c>
      <c r="C9" s="12" t="inlineStr">
        <is>
          <t>Para comparaciones</t>
        </is>
      </c>
      <c r="D9" s="12" t="inlineStr">
        <is>
          <t>Hoja: Reglas</t>
        </is>
      </c>
    </row>
    <row r="10">
      <c r="A10" s="10" t="inlineStr">
        <is>
          <t>Restricciones</t>
        </is>
      </c>
      <c r="B10" s="10" t="inlineStr">
        <is>
          <t>Lenguaje</t>
        </is>
      </c>
      <c r="C10" s="10" t="inlineStr">
        <is>
          <t>Sin moralización</t>
        </is>
      </c>
      <c r="D10" s="10" t="inlineStr">
        <is>
          <t>Hoja: Restricciones</t>
        </is>
      </c>
    </row>
    <row r="11">
      <c r="A11" s="12" t="inlineStr">
        <is>
          <t>Restricciones</t>
        </is>
      </c>
      <c r="B11" s="12" t="inlineStr">
        <is>
          <t>Contenido</t>
        </is>
      </c>
      <c r="C11" s="12" t="inlineStr">
        <is>
          <t>Sin copyright</t>
        </is>
      </c>
      <c r="D11" s="12" t="inlineStr">
        <is>
          <t>Hoja: Restricciones</t>
        </is>
      </c>
    </row>
    <row r="12">
      <c r="A12" s="10" t="inlineStr">
        <is>
          <t>Restricciones</t>
        </is>
      </c>
      <c r="B12" s="10" t="inlineStr">
        <is>
          <t>Formato</t>
        </is>
      </c>
      <c r="C12" s="10" t="inlineStr">
        <is>
          <t>Sin emojis en cuerpo</t>
        </is>
      </c>
      <c r="D12" s="10" t="inlineStr">
        <is>
          <t>Hoja: Restricciones</t>
        </is>
      </c>
    </row>
    <row r="13">
      <c r="A13" s="12" t="inlineStr">
        <is>
          <t>Colores</t>
        </is>
      </c>
      <c r="B13" s="12" t="inlineStr">
        <is>
          <t>Verde Neón</t>
        </is>
      </c>
      <c r="C13" s="12" t="inlineStr">
        <is>
          <t>#10b981</t>
        </is>
      </c>
      <c r="D13" s="12" t="inlineStr">
        <is>
          <t>Tech Startup</t>
        </is>
      </c>
    </row>
    <row r="14">
      <c r="A14" s="10" t="inlineStr">
        <is>
          <t>Colores</t>
        </is>
      </c>
      <c r="B14" s="10" t="inlineStr">
        <is>
          <t>Negro</t>
        </is>
      </c>
      <c r="C14" s="10" t="inlineStr">
        <is>
          <t>#000000</t>
        </is>
      </c>
      <c r="D14" s="10" t="inlineStr">
        <is>
          <t>Tech Startup</t>
        </is>
      </c>
    </row>
    <row r="15">
      <c r="A15" s="12" t="inlineStr">
        <is>
          <t>Colores</t>
        </is>
      </c>
      <c r="B15" s="12" t="inlineStr">
        <is>
          <t>Gris Carbón</t>
        </is>
      </c>
      <c r="C15" s="12" t="inlineStr">
        <is>
          <t>#374151</t>
        </is>
      </c>
      <c r="D15" s="12" t="inlineStr">
        <is>
          <t>Tech Startup</t>
        </is>
      </c>
    </row>
  </sheetData>
  <autoFilter ref="A1:D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40" customWidth="1" min="4" max="4"/>
  </cols>
  <sheetData>
    <row r="1" ht="40" customHeight="1">
      <c r="A1" s="9" t="inlineStr">
        <is>
          <t>⚙️ Configuración y Validación de Datos</t>
        </is>
      </c>
    </row>
    <row r="3">
      <c r="A3" s="14" t="inlineStr">
        <is>
          <t>Parámetro</t>
        </is>
      </c>
      <c r="B3" s="14" t="inlineStr">
        <is>
          <t>Valor</t>
        </is>
      </c>
      <c r="C3" s="14" t="inlineStr">
        <is>
          <t>Tipo Validación</t>
        </is>
      </c>
      <c r="D3" s="14" t="inlineStr">
        <is>
          <t>Descripción</t>
        </is>
      </c>
    </row>
    <row r="4">
      <c r="A4" s="10" t="inlineStr">
        <is>
          <t>Prioridad Mínima</t>
        </is>
      </c>
      <c r="B4" s="11" t="inlineStr">
        <is>
          <t>Media</t>
        </is>
      </c>
      <c r="C4" s="10" t="inlineStr">
        <is>
          <t>Lista: Alta,Media,Baja</t>
        </is>
      </c>
      <c r="D4" s="10" t="inlineStr">
        <is>
          <t>Prioridad mínima aceptable</t>
        </is>
      </c>
    </row>
    <row r="5">
      <c r="A5" s="12" t="inlineStr">
        <is>
          <t>Tiempo Máximo (horas)</t>
        </is>
      </c>
      <c r="B5" s="13" t="n">
        <v>6</v>
      </c>
      <c r="C5" s="12" t="inlineStr">
        <is>
          <t>Número: 0-24</t>
        </is>
      </c>
      <c r="D5" s="12" t="inlineStr">
        <is>
          <t>Tiempo máximo de producción</t>
        </is>
      </c>
    </row>
    <row r="6">
      <c r="A6" s="10" t="inlineStr">
        <is>
          <t>Longitud Mínima</t>
        </is>
      </c>
      <c r="B6" s="11" t="n">
        <v>50</v>
      </c>
      <c r="C6" s="10" t="inlineStr">
        <is>
          <t>Número: &gt;0</t>
        </is>
      </c>
      <c r="D6" s="10" t="inlineStr">
        <is>
          <t>Longitud mínima de contenido</t>
        </is>
      </c>
    </row>
    <row r="7">
      <c r="A7" s="12" t="inlineStr">
        <is>
          <t>Tasa Aprobación Mínima</t>
        </is>
      </c>
      <c r="B7" s="13" t="inlineStr">
        <is>
          <t>90%</t>
        </is>
      </c>
      <c r="C7" s="12" t="inlineStr">
        <is>
          <t>Porcentaje: 0-100%</t>
        </is>
      </c>
      <c r="D7" s="12" t="inlineStr">
        <is>
          <t>Tasa mínima de aprobación</t>
        </is>
      </c>
    </row>
  </sheetData>
  <mergeCells count="1">
    <mergeCell ref="A1:D1"/>
  </mergeCells>
  <dataValidations count="3">
    <dataValidation sqref="B4" showDropDown="0" showInputMessage="0" showErrorMessage="0" allowBlank="1" errorTitle="Error de Validación" error="Valor no válido" promptTitle="Seleccionar Valor" prompt="Selecciona un valor de la lista" type="list">
      <formula1>"Alta,Media,Baja"</formula1>
    </dataValidation>
    <dataValidation sqref="B5" showDropDown="0" showInputMessage="0" showErrorMessage="0" allowBlank="1" errorTitle="Error de Validación" error="Valor fuera del rango permitido" type="decimal" operator="between">
      <formula1>0</formula1>
      <formula2>24</formula2>
    </dataValidation>
    <dataValidation sqref="B6" showDropDown="0" showInputMessage="0" showErrorMessage="0" allowBlank="1" errorTitle="Error de Validación" error="Valor fuera del rango permitido" type="decimal" operator="greaterThan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  <col width="20" customWidth="1" min="4" max="4"/>
    <col width="40" customWidth="1" min="5" max="5"/>
  </cols>
  <sheetData>
    <row r="1" ht="40" customHeight="1">
      <c r="A1" s="9" t="inlineStr">
        <is>
          <t>💰 Calculadora de ROI y Análisis de Costos</t>
        </is>
      </c>
    </row>
    <row r="3">
      <c r="A3" s="4" t="inlineStr">
        <is>
          <t>Concepto</t>
        </is>
      </c>
      <c r="B3" s="4" t="inlineStr">
        <is>
          <t>Valor</t>
        </is>
      </c>
      <c r="C3" s="4" t="inlineStr">
        <is>
          <t>Fórmula</t>
        </is>
      </c>
      <c r="D3" s="4" t="inlineStr">
        <is>
          <t>Resultado</t>
        </is>
      </c>
      <c r="E3" s="4" t="inlineStr">
        <is>
          <t>Notas</t>
        </is>
      </c>
    </row>
    <row r="4">
      <c r="A4" s="10" t="inlineStr">
        <is>
          <t>Costo por Pieza de Contenido</t>
        </is>
      </c>
      <c r="B4" s="11" t="n">
        <v>50</v>
      </c>
      <c r="C4" s="11">
        <f>B4</f>
        <v/>
      </c>
      <c r="D4" s="11" t="inlineStr">
        <is>
          <t>Valor fijo</t>
        </is>
      </c>
      <c r="E4" s="10" t="inlineStr">
        <is>
          <t>Costo promedio de producción</t>
        </is>
      </c>
    </row>
    <row r="5">
      <c r="A5" s="12" t="inlineStr">
        <is>
          <t>Piezas Generadas/Mes</t>
        </is>
      </c>
      <c r="B5" s="13" t="n">
        <v>450</v>
      </c>
      <c r="C5" s="13">
        <f>INDICE('📋 Datos Detallados'!A:A,2)</f>
        <v/>
      </c>
      <c r="D5" s="13" t="inlineStr">
        <is>
          <t>Del sistema</t>
        </is>
      </c>
      <c r="E5" s="12" t="inlineStr">
        <is>
          <t>Del dashboard</t>
        </is>
      </c>
    </row>
    <row r="6">
      <c r="A6" s="10" t="inlineStr">
        <is>
          <t>Costo Total Mensual</t>
        </is>
      </c>
      <c r="B6" s="11">
        <f>B4*B5</f>
        <v/>
      </c>
      <c r="C6" s="11">
        <f>B4*B5</f>
        <v/>
      </c>
      <c r="D6" s="11" t="inlineStr">
        <is>
          <t>Cálculo automático</t>
        </is>
      </c>
      <c r="E6" s="10" t="inlineStr">
        <is>
          <t>Costo total de producción</t>
        </is>
      </c>
    </row>
    <row r="7">
      <c r="A7" s="12" t="inlineStr">
        <is>
          <t>Tiempo Ahorrado (horas/mes)</t>
        </is>
      </c>
      <c r="B7" s="13" t="n">
        <v>200</v>
      </c>
      <c r="C7" s="13">
        <f>B5*2.5</f>
        <v/>
      </c>
      <c r="D7" s="13" t="inlineStr">
        <is>
          <t>Estimado</t>
        </is>
      </c>
      <c r="E7" s="12" t="inlineStr">
        <is>
          <t>Tiempo ahorrado vs manual</t>
        </is>
      </c>
    </row>
    <row r="8">
      <c r="A8" s="10" t="inlineStr">
        <is>
          <t>Valor Hora Trabajo</t>
        </is>
      </c>
      <c r="B8" s="11" t="n">
        <v>75</v>
      </c>
      <c r="C8" s="11">
        <f>Valor fijo</f>
        <v/>
      </c>
      <c r="D8" s="11" t="inlineStr">
        <is>
          <t>Tarifa estándar</t>
        </is>
      </c>
      <c r="E8" s="10" t="inlineStr">
        <is>
          <t>Costo por hora de trabajo</t>
        </is>
      </c>
    </row>
    <row r="9">
      <c r="A9" s="12" t="inlineStr">
        <is>
          <t>Ahorro en Tiempo ($)</t>
        </is>
      </c>
      <c r="B9" s="13">
        <f>B8*B9</f>
        <v/>
      </c>
      <c r="C9" s="13">
        <f>B8*B9</f>
        <v/>
      </c>
      <c r="D9" s="13" t="inlineStr">
        <is>
          <t>Cálculo automático</t>
        </is>
      </c>
      <c r="E9" s="12" t="inlineStr">
        <is>
          <t>Ahorro monetario</t>
        </is>
      </c>
    </row>
    <row r="10">
      <c r="A10" s="10" t="inlineStr">
        <is>
          <t>ROI Mensual (%)</t>
        </is>
      </c>
      <c r="B10" s="22">
        <f>((B10-B6)/B6)*100</f>
        <v/>
      </c>
      <c r="C10" s="11">
        <f>((B10-B6)/B6)*100</f>
        <v/>
      </c>
      <c r="D10" s="11" t="inlineStr">
        <is>
          <t>Porcentaje</t>
        </is>
      </c>
      <c r="E10" s="10" t="inlineStr">
        <is>
          <t>Retorno de inversión</t>
        </is>
      </c>
    </row>
    <row r="11">
      <c r="A11" s="12" t="inlineStr">
        <is>
          <t>ROI Anual (%)</t>
        </is>
      </c>
      <c r="B11" s="23">
        <f>B11*12</f>
        <v/>
      </c>
      <c r="C11" s="13">
        <f>B11*12</f>
        <v/>
      </c>
      <c r="D11" s="13" t="inlineStr">
        <is>
          <t>Proyección</t>
        </is>
      </c>
      <c r="E11" s="12" t="inlineStr">
        <is>
          <t>ROI anualizado</t>
        </is>
      </c>
    </row>
    <row r="12">
      <c r="A12" s="10" t="inlineStr">
        <is>
          <t>Break-even (meses)</t>
        </is>
      </c>
      <c r="B12" s="11">
        <f>B6/B10</f>
        <v/>
      </c>
      <c r="C12" s="11">
        <f>B6/B10</f>
        <v/>
      </c>
      <c r="D12" s="11" t="inlineStr">
        <is>
          <t>Cálculo</t>
        </is>
      </c>
      <c r="E12" s="10" t="inlineStr">
        <is>
          <t>Meses para recuperar inversión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25" customWidth="1" min="4" max="4"/>
  </cols>
  <sheetData>
    <row r="1" ht="40" customHeight="1">
      <c r="A1" s="9" t="inlineStr">
        <is>
          <t>🔮 Análisis Predictivo y Proyecciones</t>
        </is>
      </c>
    </row>
    <row r="3">
      <c r="A3" s="14" t="inlineStr">
        <is>
          <t>Métrica</t>
        </is>
      </c>
      <c r="B3" s="14" t="inlineStr">
        <is>
          <t>Valor Actual</t>
        </is>
      </c>
      <c r="C3" s="14" t="inlineStr">
        <is>
          <t>Tendencia</t>
        </is>
      </c>
      <c r="D3" s="14" t="inlineStr">
        <is>
          <t>Proyección 3 Meses</t>
        </is>
      </c>
    </row>
    <row r="4">
      <c r="A4" s="5" t="inlineStr">
        <is>
          <t>Contenido/Mes</t>
        </is>
      </c>
      <c r="B4" s="6" t="n">
        <v>450</v>
      </c>
      <c r="C4" s="6" t="inlineStr">
        <is>
          <t>↑</t>
        </is>
      </c>
      <c r="D4" s="6">
        <f>B4*1.15</f>
        <v/>
      </c>
    </row>
    <row r="5">
      <c r="A5" s="7" t="inlineStr">
        <is>
          <t>Tasa Aprobación</t>
        </is>
      </c>
      <c r="B5" s="8" t="n">
        <v>95</v>
      </c>
      <c r="C5" s="8" t="inlineStr">
        <is>
          <t>↑</t>
        </is>
      </c>
      <c r="D5" s="8">
        <f>B5*1.02</f>
        <v/>
      </c>
    </row>
    <row r="6">
      <c r="A6" s="5" t="inlineStr">
        <is>
          <t>Tiempo Producción</t>
        </is>
      </c>
      <c r="B6" s="6" t="n">
        <v>2.5</v>
      </c>
      <c r="C6" s="6" t="inlineStr">
        <is>
          <t>↓</t>
        </is>
      </c>
      <c r="D6" s="6">
        <f>B6*0.9</f>
        <v/>
      </c>
    </row>
    <row r="7">
      <c r="A7" s="7" t="inlineStr">
        <is>
          <t>Satisfacción</t>
        </is>
      </c>
      <c r="B7" s="8" t="n">
        <v>4.8</v>
      </c>
      <c r="C7" s="8" t="inlineStr">
        <is>
          <t>↑</t>
        </is>
      </c>
      <c r="D7" s="8">
        <f>B7*1.05</f>
        <v/>
      </c>
    </row>
    <row r="8">
      <c r="A8" s="5" t="inlineStr">
        <is>
          <t>Engagement Rate</t>
        </is>
      </c>
      <c r="B8" s="6" t="n">
        <v>8.300000000000001</v>
      </c>
      <c r="C8" s="6" t="inlineStr">
        <is>
          <t>↑</t>
        </is>
      </c>
      <c r="D8" s="6">
        <f>B8*1.1</f>
        <v/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</cols>
  <sheetData>
    <row r="1" ht="40" customHeight="1">
      <c r="A1" s="9" t="inlineStr">
        <is>
          <t>📝 Plantillas y Ejemplos de Uso</t>
        </is>
      </c>
    </row>
    <row r="3">
      <c r="A3" s="4" t="inlineStr">
        <is>
          <t>Tipo de Contenido</t>
        </is>
      </c>
      <c r="B3" s="4" t="inlineStr">
        <is>
          <t>Plantilla</t>
        </is>
      </c>
      <c r="C3" s="4" t="inlineStr">
        <is>
          <t>Ejemplo de Uso</t>
        </is>
      </c>
    </row>
    <row r="4">
      <c r="A4" s="10" t="inlineStr">
        <is>
          <t>Blog Article</t>
        </is>
      </c>
      <c r="B4" s="10" t="inlineStr">
        <is>
          <t>Hook + 3 Secciones + CTA</t>
        </is>
      </c>
      <c r="C4" s="10" t="inlineStr">
        <is>
          <t>Artículo educativo de 2000 palabras</t>
        </is>
      </c>
    </row>
    <row r="5">
      <c r="A5" s="12" t="inlineStr">
        <is>
          <t>Social Media</t>
        </is>
      </c>
      <c r="B5" s="12" t="inlineStr">
        <is>
          <t>Hook + Valor + CTA</t>
        </is>
      </c>
      <c r="C5" s="12" t="inlineStr">
        <is>
          <t>Post de Instagram optimizado</t>
        </is>
      </c>
    </row>
    <row r="6">
      <c r="A6" s="10" t="inlineStr">
        <is>
          <t>Email</t>
        </is>
      </c>
      <c r="B6" s="10" t="inlineStr">
        <is>
          <t>Asunto + Cuerpo + CTA</t>
        </is>
      </c>
      <c r="C6" s="10" t="inlineStr">
        <is>
          <t>Newsletter semanal</t>
        </is>
      </c>
    </row>
    <row r="7">
      <c r="A7" s="12" t="inlineStr">
        <is>
          <t>Landing Page</t>
        </is>
      </c>
      <c r="B7" s="12" t="inlineStr">
        <is>
          <t>Headline + Beneficios + CTA</t>
        </is>
      </c>
      <c r="C7" s="12" t="inlineStr">
        <is>
          <t>Página de producto</t>
        </is>
      </c>
    </row>
    <row r="8">
      <c r="A8" s="10" t="inlineStr">
        <is>
          <t>Copywriting</t>
        </is>
      </c>
      <c r="B8" s="10" t="inlineStr">
        <is>
          <t>Propuesta + Prueba Social + CTA</t>
        </is>
      </c>
      <c r="C8" s="10" t="inlineStr">
        <is>
          <t>Anuncio publicitario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2025-11-22T08:28:53Z</dcterms:created>
  <dcterms:modified xmlns:dcterms="http://purl.org/dc/terms/" xmlns:xsi="http://www.w3.org/2001/XMLSchema-instance" xsi:type="dcterms:W3CDTF">2025-11-22T08:28:53Z</dcterms:modified>
</cp:coreProperties>
</file>