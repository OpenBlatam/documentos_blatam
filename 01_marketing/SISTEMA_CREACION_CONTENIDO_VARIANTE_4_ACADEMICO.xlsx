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7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Análisis Estadístico" sheetId="2" state="visible" r:id="rId2"/>
    <sheet xmlns:r="http://schemas.openxmlformats.org/officeDocument/2006/relationships" name="Casos de Estudio" sheetId="3" state="visible" r:id="rId3"/>
    <sheet xmlns:r="http://schemas.openxmlformats.org/officeDocument/2006/relationships" name="Benchmarks" sheetId="4" state="visible" r:id="rId4"/>
    <sheet xmlns:r="http://schemas.openxmlformats.org/officeDocument/2006/relationships" name="Troubleshooting" sheetId="5" state="visible" r:id="rId5"/>
    <sheet xmlns:r="http://schemas.openxmlformats.org/officeDocument/2006/relationships" name="Roadmap" sheetId="6" state="visible" r:id="rId6"/>
    <sheet xmlns:r="http://schemas.openxmlformats.org/officeDocument/2006/relationships" name="Análisis Predictivo" sheetId="7" state="visible" r:id="rId7"/>
    <sheet xmlns:r="http://schemas.openxmlformats.org/officeDocument/2006/relationships" name="ML Metrics" sheetId="8" state="visible" r:id="rId8"/>
    <sheet xmlns:r="http://schemas.openxmlformats.org/officeDocument/2006/relationships" name="Optimización Avanzada" sheetId="9" state="visible" r:id="rId9"/>
    <sheet xmlns:r="http://schemas.openxmlformats.org/officeDocument/2006/relationships" name="Matriz de Decisión" sheetId="10" state="visible" r:id="rId10"/>
    <sheet xmlns:r="http://schemas.openxmlformats.org/officeDocument/2006/relationships" name="Análisis de Costos" sheetId="11" state="visible" r:id="rId11"/>
    <sheet xmlns:r="http://schemas.openxmlformats.org/officeDocument/2006/relationships" name="Calendario Contenido" sheetId="12" state="visible" r:id="rId12"/>
    <sheet xmlns:r="http://schemas.openxmlformats.org/officeDocument/2006/relationships" name="Validación y Testing" sheetId="13" state="visible" r:id="rId13"/>
    <sheet xmlns:r="http://schemas.openxmlformats.org/officeDocument/2006/relationships" name="Tipos de Contenido" sheetId="14" state="visible" r:id="rId14"/>
    <sheet xmlns:r="http://schemas.openxmlformats.org/officeDocument/2006/relationships" name="Reglas de Formato" sheetId="15" state="visible" r:id="rId15"/>
    <sheet xmlns:r="http://schemas.openxmlformats.org/officeDocument/2006/relationships" name="Análisis y Métricas" sheetId="16" state="visible" r:id="rId16"/>
    <sheet xmlns:r="http://schemas.openxmlformats.org/officeDocument/2006/relationships" name="Gráficos" sheetId="17" state="visible" r:id="rId17"/>
    <sheet xmlns:r="http://schemas.openxmlformats.org/officeDocument/2006/relationships" name="Apéndic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&quot;%&quot;"/>
    <numFmt numFmtId="165" formatCode="0&quot;%&quot;"/>
    <numFmt numFmtId="166" formatCode="$#,##0"/>
    <numFmt numFmtId="167" formatCode="dd/mm/yyyy"/>
    <numFmt numFmtId="168" formatCode="0.0"/>
    <numFmt numFmtId="169" formatCode="yyyy-mm-dd h:mm:ss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color rgb="00FFFFFF"/>
      <sz val="14"/>
    </font>
    <font>
      <b val="1"/>
      <color rgb="00FFFFFF"/>
      <sz val="12"/>
    </font>
    <font>
      <b val="1"/>
    </font>
    <font>
      <i val="1"/>
      <color rgb="001e40af"/>
      <sz val="12"/>
    </font>
    <font>
      <b val="1"/>
      <sz val="12"/>
    </font>
    <font>
      <b val="1"/>
      <color rgb="00059669"/>
      <sz val="14"/>
    </font>
    <font>
      <b val="1"/>
      <color rgb="00059669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059669"/>
        <bgColor rgb="00059669"/>
      </patternFill>
    </fill>
    <fill>
      <patternFill patternType="solid">
        <fgColor rgb="00fef3c7"/>
        <bgColor rgb="00fef3c7"/>
      </patternFill>
    </fill>
    <fill>
      <patternFill patternType="solid">
        <fgColor rgb="0010b981"/>
        <bgColor rgb="0010b981"/>
      </patternFill>
    </fill>
    <fill>
      <patternFill patternType="solid">
        <fgColor rgb="00fbbf24"/>
        <bgColor rgb="00fbbf2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0" fontId="0" fillId="4" borderId="1" applyAlignment="1" pivotButton="0" quotePrefix="0" xfId="0">
      <alignment horizontal="left" vertical="center" wrapText="1"/>
    </xf>
    <xf numFmtId="1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3" borderId="1" pivotButton="0" quotePrefix="0" xfId="0"/>
    <xf numFmtId="164" fontId="0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164" fontId="0" fillId="4" borderId="1" pivotButton="0" quotePrefix="0" xfId="0"/>
    <xf numFmtId="0" fontId="7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1" fillId="2" borderId="1" pivotButton="0" quotePrefix="0" xfId="0"/>
    <xf numFmtId="1" fontId="0" fillId="4" borderId="1" pivotButton="0" quotePrefix="0" xfId="0"/>
    <xf numFmtId="2" fontId="0" fillId="4" borderId="1" pivotButton="0" quotePrefix="0" xfId="0"/>
    <xf numFmtId="1" fontId="0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165" fontId="0" fillId="0" borderId="1" applyAlignment="1" pivotButton="0" quotePrefix="0" xfId="0">
      <alignment horizontal="left" vertical="center" wrapText="1"/>
    </xf>
    <xf numFmtId="165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2" borderId="1" pivotButton="0" quotePrefix="0" xfId="0"/>
    <xf numFmtId="0" fontId="8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left" vertical="center" wrapText="1"/>
    </xf>
    <xf numFmtId="166" fontId="0" fillId="4" borderId="1" pivotButton="0" quotePrefix="0" xfId="0"/>
    <xf numFmtId="166" fontId="5" fillId="0" borderId="1" applyAlignment="1" pivotButton="0" quotePrefix="0" xfId="0">
      <alignment horizontal="left" vertical="center" wrapText="1"/>
    </xf>
    <xf numFmtId="167" fontId="0" fillId="0" borderId="1" applyAlignment="1" pivotButton="0" quotePrefix="0" xfId="0">
      <alignment horizontal="left" vertical="center" wrapText="1"/>
    </xf>
    <xf numFmtId="167" fontId="0" fillId="4" borderId="1" pivotButton="0" quotePrefix="0" xfId="0"/>
    <xf numFmtId="0" fontId="0" fillId="4" borderId="0" pivotButton="0" quotePrefix="0" xfId="0"/>
    <xf numFmtId="0" fontId="5" fillId="0" borderId="0" pivotButton="0" quotePrefix="0" xfId="0"/>
    <xf numFmtId="0" fontId="5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9" fillId="0" borderId="1" applyAlignment="1" pivotButton="0" quotePrefix="0" xfId="0">
      <alignment horizontal="left" vertical="center" wrapText="1"/>
    </xf>
    <xf numFmtId="167" fontId="0" fillId="0" borderId="1" applyAlignment="1" pivotButton="0" quotePrefix="0" xfId="0">
      <alignment horizontal="left" vertical="center" wrapText="1"/>
    </xf>
    <xf numFmtId="167" fontId="0" fillId="4" borderId="1" pivotButton="0" quotePrefix="0" xfId="0"/>
    <xf numFmtId="168" fontId="0" fillId="0" borderId="1" applyAlignment="1" pivotButton="0" quotePrefix="0" xfId="0">
      <alignment horizontal="left" vertical="center" wrapText="1"/>
    </xf>
    <xf numFmtId="168" fontId="0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10b981"/>
          <bgColor rgb="0010b981"/>
        </patternFill>
      </fill>
    </dxf>
    <dxf>
      <fill>
        <patternFill patternType="solid">
          <fgColor rgb="00fbbf24"/>
          <bgColor rgb="00fbbf2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Tendencias de Rendimiento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'Análisis Estadístico'!B3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Estadístico'!$A$4:$A$9</f>
            </numRef>
          </cat>
          <val>
            <numRef>
              <f>'Análisis Estadístico'!$B$4:$B$9</f>
            </numRef>
          </val>
        </ser>
        <ser>
          <idx val="1"/>
          <order val="1"/>
          <tx>
            <strRef>
              <f>'Análisis Estadístico'!C3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Estadístico'!$A$4:$A$9</f>
            </numRef>
          </cat>
          <val>
            <numRef>
              <f>'Análisis Estadístico'!$C$4:$C$9</f>
            </numRef>
          </val>
        </ser>
        <ser>
          <idx val="2"/>
          <order val="2"/>
          <tx>
            <strRef>
              <f>'Análisis Estadístico'!D3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Estadístico'!$A$4:$A$9</f>
            </numRef>
          </cat>
          <val>
            <numRef>
              <f>'Análisis Estadístico'!$D$4:$D$9</f>
            </numRef>
          </val>
        </ser>
        <ser>
          <idx val="3"/>
          <order val="3"/>
          <tx>
            <strRef>
              <f>'Análisis Estadístico'!E3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Estadístico'!$A$4:$A$9</f>
            </numRef>
          </cat>
          <val>
            <numRef>
              <f>'Análisis Estadístico'!$E$4:$E$9</f>
            </numRef>
          </val>
        </ser>
        <ser>
          <idx val="4"/>
          <order val="4"/>
          <tx>
            <strRef>
              <f>'Análisis Estadístico'!F3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Estadístico'!$A$4:$A$9</f>
            </numRef>
          </cat>
          <val>
            <numRef>
              <f>'Análisis Estadístico'!$F$4:$F$9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Comparativa de Rendimiento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'Benchmarks'!$A$3:$A$10</f>
            </numRef>
          </cat>
          <val>
            <numRef>
              <f>'Benchmarks'!$B$3:$B$10</f>
            </numRef>
          </val>
        </ser>
        <ser>
          <idx val="1"/>
          <order val="1"/>
          <tx>
            <strRef>
              <f>'Benchmarks'!C2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'Benchmarks'!$A$3:$A$10</f>
            </numRef>
          </cat>
          <val>
            <numRef>
              <f>'Benchmarks'!$C$3:$C$10</f>
            </numRef>
          </val>
        </ser>
        <ser>
          <idx val="2"/>
          <order val="2"/>
          <tx>
            <strRef>
              <f>'Benchmarks'!D2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'Benchmarks'!$A$3:$A$10</f>
            </numRef>
          </cat>
          <val>
            <numRef>
              <f>'Benchmarks'!$D$3:$D$10</f>
            </numRef>
          </val>
        </ser>
        <ser>
          <idx val="3"/>
          <order val="3"/>
          <tx>
            <strRef>
              <f>'Benchmarks'!E2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'Benchmarks'!$A$3:$A$10</f>
            </numRef>
          </cat>
          <val>
            <numRef>
              <f>'Benchmarks'!$E$3:$E$10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Normalizado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Roadmap: Esfuerzo vs Impacto</a:t>
            </a:r>
          </a:p>
        </rich>
      </tx>
    </title>
    <plotArea>
      <scatterChart>
        <ser>
          <idx val="0"/>
          <order val="0"/>
          <tx>
            <strRef>
              <f>'Roadmap'!F3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ser>
          <idx val="1"/>
          <order val="1"/>
          <tx>
            <strRef>
              <f>'Roadmap'!G3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ser>
          <idx val="2"/>
          <order val="2"/>
          <tx>
            <strRef>
              <f>'Roadmap'!H3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Esfuerzo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Predictivo: Contenido Real vs Predicho</a:t>
            </a:r>
          </a:p>
        </rich>
      </tx>
    </title>
    <plotArea>
      <lineChart>
        <grouping val="standard"/>
        <ser>
          <idx val="0"/>
          <order val="0"/>
          <tx>
            <strRef>
              <f>'Análisis Predictivo'!B3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Predictivo'!$A$4:$A$12</f>
            </numRef>
          </cat>
          <val>
            <numRef>
              <f>'Análisis Predictivo'!$B$4:$B$9</f>
            </numRef>
          </val>
        </ser>
        <ser>
          <idx val="1"/>
          <order val="1"/>
          <tx>
            <strRef>
              <f>'Análisis Predictivo'!C3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'Análisis Predictivo'!$A$4:$A$12</f>
            </numRef>
          </cat>
          <val>
            <numRef>
              <f>'Análisis Predictivo'!$C$4:$C$12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 de Contenido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ROI por Tipo de Contenido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de Costos'!F2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'Análisis de Costos'!$A$3:$A$10</f>
            </numRef>
          </cat>
          <val>
            <numRef>
              <f>'Análisis de Costos'!$F$3:$F$10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Frecuencia de Uso vs Tasa de Éxito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 de Contenido'!F2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 de Contenido'!$A$3:$A$12</f>
            </numRef>
          </cat>
          <val>
            <numRef>
              <f>'Tipos de Contenido'!$F$3:$F$12</f>
            </numRef>
          </val>
        </ser>
        <ser>
          <idx val="1"/>
          <order val="1"/>
          <tx>
            <strRef>
              <f>'Tipos de Contenido'!G2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 de Contenido'!$A$3:$A$12</f>
            </numRef>
          </cat>
          <val>
            <numRef>
              <f>'Tipos de Contenido'!$G$3:$G$12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 de Contenido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Frecuencia de Uso por Tipo de Contenido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'Gráficos'!$A$4:$A$11</f>
            </numRef>
          </cat>
          <val>
            <numRef>
              <f>'Gráficos'!$B$4:$B$11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 de Contenido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de Contenido Generado</a:t>
            </a:r>
          </a:p>
        </rich>
      </tx>
    </title>
    <plotArea>
      <lineChart>
        <grouping val="standard"/>
        <ser>
          <idx val="0"/>
          <order val="0"/>
          <tx>
            <strRef>
              <f>'Gráficos'!B15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'Gráficos'!$A$16:$A$21</f>
            </numRef>
          </cat>
          <val>
            <numRef>
              <f>'Gráficos'!$B$16:$B$21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Componentes del Sistema</a:t>
            </a:r>
          </a:p>
        </rich>
      </tx>
    </title>
    <plotArea>
      <pieChart>
        <varyColors val="1"/>
        <ser>
          <idx val="0"/>
          <order val="0"/>
          <tx>
            <strRef>
              <f>'Gráficos'!B24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'Gráficos'!$A$25:$A$30</f>
            </numRef>
          </cat>
          <val>
            <numRef>
              <f>'Gráficos'!$B$25:$B$30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23</row>
      <rowOff>0</rowOff>
    </from>
    <ext cx="36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8" customWidth="1" min="5" max="5"/>
  </cols>
  <sheetData>
    <row r="1">
      <c r="A1" s="12" t="inlineStr">
        <is>
          <t>SISTEMA DE CREACIÓN DE CONTENIDO</t>
        </is>
      </c>
      <c r="B1" s="29" t="n"/>
      <c r="C1" s="29" t="n"/>
      <c r="D1" s="29" t="n"/>
      <c r="E1" s="30" t="n"/>
    </row>
    <row r="2">
      <c r="A2" s="13" t="inlineStr">
        <is>
          <t>Variante 4: Académico y Técnico - Dashboard Ejecutivo</t>
        </is>
      </c>
      <c r="B2" s="29" t="n"/>
      <c r="C2" s="29" t="n"/>
      <c r="D2" s="30" t="n"/>
      <c r="E2" s="30" t="n"/>
    </row>
    <row r="4">
      <c r="A4" s="9" t="inlineStr">
        <is>
          <t>Versión:</t>
        </is>
      </c>
      <c r="B4" s="3" t="inlineStr">
        <is>
          <t>4.0</t>
        </is>
      </c>
      <c r="C4" s="9" t="inlineStr">
        <is>
          <t>Fecha:</t>
        </is>
      </c>
      <c r="D4" s="3" t="inlineStr">
        <is>
          <t>22/11/2025</t>
        </is>
      </c>
    </row>
    <row r="5">
      <c r="A5" s="9" t="inlineStr">
        <is>
          <t>Autor:</t>
        </is>
      </c>
      <c r="B5" s="3" t="inlineStr">
        <is>
          <t>Sistema de Documentación Técnica</t>
        </is>
      </c>
      <c r="C5" s="9" t="inlineStr">
        <is>
          <t>Estado:</t>
        </is>
      </c>
      <c r="D5" s="3" t="inlineStr">
        <is>
          <t>Activo</t>
        </is>
      </c>
    </row>
    <row r="6">
      <c r="A6" s="9" t="inlineStr">
        <is>
          <t>Clasificación:</t>
        </is>
      </c>
      <c r="B6" s="3" t="inlineStr">
        <is>
          <t>Documentación de Sistema de IA</t>
        </is>
      </c>
      <c r="C6" s="9" t="inlineStr">
        <is>
          <t>Última Actualización:</t>
        </is>
      </c>
      <c r="D6" s="3" t="inlineStr">
        <is>
          <t>22/11/2025 02:10</t>
        </is>
      </c>
    </row>
    <row r="7">
      <c r="A7" s="14" t="inlineStr">
        <is>
          <t>INDICADORES CLAVE DE RENDIMIENTO (KPIs)</t>
        </is>
      </c>
      <c r="B7" s="29" t="n"/>
      <c r="C7" s="29" t="n"/>
      <c r="D7" s="29" t="n"/>
      <c r="E7" s="30" t="n"/>
    </row>
    <row r="8">
      <c r="A8" s="15" t="inlineStr">
        <is>
          <t>Métrica</t>
        </is>
      </c>
      <c r="B8" s="15" t="inlineStr">
        <is>
          <t>Valor Actual</t>
        </is>
      </c>
      <c r="C8" s="15" t="inlineStr">
        <is>
          <t>Objetivo</t>
        </is>
      </c>
      <c r="D8" s="15" t="inlineStr">
        <is>
          <t>Desviación %</t>
        </is>
      </c>
      <c r="E8" s="15" t="inlineStr">
        <is>
          <t>Estado</t>
        </is>
      </c>
    </row>
    <row r="9">
      <c r="A9" s="3" t="inlineStr">
        <is>
          <t>Tipos de Contenido Soportados</t>
        </is>
      </c>
      <c r="B9" s="29" t="n"/>
      <c r="C9" s="29" t="n"/>
      <c r="D9" s="30" t="n"/>
      <c r="E9" s="3">
        <f>SI(B9&gt;=C9,"✓ Cumplido","⚠ Pendiente")</f>
        <v/>
      </c>
    </row>
    <row r="10">
      <c r="A10" s="17" t="inlineStr">
        <is>
          <t>Plataformas Optimizadas</t>
        </is>
      </c>
      <c r="B10" s="17" t="n">
        <v>8</v>
      </c>
      <c r="C10" s="17" t="n">
        <v>8</v>
      </c>
      <c r="D10" s="18">
        <f>((B10-C10)/C10)*100</f>
        <v/>
      </c>
      <c r="E10" s="17">
        <f>SI(B10&gt;=C10,"✓ Cumplido","⚠ Pendiente")</f>
        <v/>
      </c>
    </row>
    <row r="11">
      <c r="A11" s="3" t="inlineStr">
        <is>
          <t>Reglas de Formato Definidas</t>
        </is>
      </c>
      <c r="B11" s="3" t="n">
        <v>25</v>
      </c>
      <c r="C11" s="3" t="n">
        <v>25</v>
      </c>
      <c r="D11" s="16">
        <f>((B11-C11)/C11)*100</f>
        <v/>
      </c>
      <c r="E11" s="3">
        <f>SI(B11&gt;=C11,"✓ Cumplido","⚠ Pendiente")</f>
        <v/>
      </c>
    </row>
    <row r="12">
      <c r="A12" s="17" t="inlineStr">
        <is>
          <t>Restricciones Operativas</t>
        </is>
      </c>
      <c r="B12" s="17" t="n">
        <v>15</v>
      </c>
      <c r="C12" s="17" t="n">
        <v>15</v>
      </c>
      <c r="D12" s="18">
        <f>((B12-C12)/C12)*100</f>
        <v/>
      </c>
      <c r="E12" s="17">
        <f>SI(B12&gt;=C12,"✓ Cumplido","⚠ Pendiente")</f>
        <v/>
      </c>
    </row>
    <row r="13">
      <c r="A13" s="3" t="inlineStr">
        <is>
          <t>Tasa de Completitud (%)</t>
        </is>
      </c>
      <c r="B13" s="3" t="n">
        <v>95</v>
      </c>
      <c r="C13" s="3" t="n">
        <v>90</v>
      </c>
      <c r="D13" s="16">
        <f>((B13-C13)/C13)*100</f>
        <v/>
      </c>
      <c r="E13" s="3">
        <f>SI(B13&gt;=C13,"✓ Cumplido","⚠ Pendiente")</f>
        <v/>
      </c>
    </row>
    <row r="14">
      <c r="A14" s="17" t="inlineStr">
        <is>
          <t>Tiempo Generación Promedio (min)</t>
        </is>
      </c>
      <c r="B14" s="17" t="n">
        <v>2.5</v>
      </c>
      <c r="C14" s="17" t="n">
        <v>3</v>
      </c>
      <c r="D14" s="18">
        <f>((B14-C14)/C14)*100</f>
        <v/>
      </c>
      <c r="E14" s="17">
        <f>SI(B14&gt;=C14,"✓ Cumplido","⚠ Pendiente")</f>
        <v/>
      </c>
    </row>
    <row r="15">
      <c r="A15" s="3" t="inlineStr">
        <is>
          <t>Tasa de Precisión (%)</t>
        </is>
      </c>
      <c r="B15" s="3" t="n">
        <v>92</v>
      </c>
      <c r="C15" s="3" t="n">
        <v>90</v>
      </c>
      <c r="D15" s="16">
        <f>((B15-C15)/C15)*100</f>
        <v/>
      </c>
      <c r="E15" s="3">
        <f>SI(B15&gt;=C15,"✓ Cumplido","⚠ Pendiente")</f>
        <v/>
      </c>
    </row>
    <row r="16">
      <c r="A16" s="17" t="inlineStr">
        <is>
          <t>Tasa de Relevancia (%)</t>
        </is>
      </c>
      <c r="B16" s="17" t="n">
        <v>88</v>
      </c>
      <c r="C16" s="17" t="n">
        <v>85</v>
      </c>
      <c r="D16" s="18">
        <f>((B16-C16)/C16)*100</f>
        <v/>
      </c>
      <c r="E16" s="17">
        <f>SI(B16&gt;=C16,"✓ Cumplido","⚠ Pendiente")</f>
        <v/>
      </c>
    </row>
    <row r="17">
      <c r="A17" s="3" t="inlineStr">
        <is>
          <t>Satisfacción del Usuario (%)</t>
        </is>
      </c>
      <c r="B17" s="3" t="n">
        <v>87</v>
      </c>
      <c r="C17" s="3" t="n">
        <v>85</v>
      </c>
      <c r="D17" s="16">
        <f>((B17-C17)/C17)*100</f>
        <v/>
      </c>
      <c r="E17" s="3">
        <f>SI(B17&gt;=C17,"✓ Cumplido","⚠ Pendiente")</f>
        <v/>
      </c>
    </row>
    <row r="18">
      <c r="A18" s="19" t="inlineStr">
        <is>
          <t>PROMEDIO GENERAL</t>
        </is>
      </c>
      <c r="B18" s="20">
        <f>PROMEDIO(B9:B17)</f>
        <v/>
      </c>
      <c r="C18" s="20">
        <f>PROMEDIO(C9:C17)</f>
        <v/>
      </c>
      <c r="D18" s="21">
        <f>PROMEDIO(D9:D17)</f>
        <v/>
      </c>
    </row>
  </sheetData>
  <mergeCells count="6">
    <mergeCell ref="A1:D1"/>
    <mergeCell ref="A9:D9"/>
    <mergeCell ref="A2:E2"/>
    <mergeCell ref="A7:E7"/>
    <mergeCell ref="A1:E1"/>
    <mergeCell ref="A2:D2"/>
  </mergeCells>
  <conditionalFormatting sqref="D9:D17">
    <cfRule type="colorScale" priority="1">
      <colorScale>
        <cfvo type="num" val="-10"/>
        <cfvo type="num" val="0"/>
        <cfvo type="num" val="10"/>
        <color rgb="00ef4444"/>
        <color rgb="00fbbf24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0" customWidth="1" min="4" max="4"/>
    <col width="18" customWidth="1" min="5" max="5"/>
    <col width="15" customWidth="1" min="6" max="6"/>
  </cols>
  <sheetData>
    <row r="1">
      <c r="A1" s="22" t="inlineStr">
        <is>
          <t>ANÁLISIS ESTADÍSTICO DEL SISTEMA</t>
        </is>
      </c>
      <c r="B1" s="29" t="n"/>
      <c r="C1" s="29" t="n"/>
      <c r="D1" s="29" t="n"/>
      <c r="E1" s="29" t="n"/>
      <c r="F1" s="30" t="n"/>
    </row>
    <row r="3">
      <c r="A3" s="15" t="inlineStr">
        <is>
          <t>MES</t>
        </is>
      </c>
      <c r="B3" s="15" t="inlineStr">
        <is>
          <t>Contenido Generado</t>
        </is>
      </c>
      <c r="C3" s="15" t="inlineStr">
        <is>
          <t>Tasa Éxito (%)</t>
        </is>
      </c>
      <c r="D3" s="15" t="inlineStr">
        <is>
          <t>Tiempo Promedio (min)</t>
        </is>
      </c>
      <c r="E3" s="15" t="inlineStr">
        <is>
          <t>Satisfacción (%)</t>
        </is>
      </c>
      <c r="F3" s="15" t="inlineStr">
        <is>
          <t>ROI (%)</t>
        </is>
      </c>
    </row>
    <row r="4">
      <c r="A4" s="17" t="inlineStr">
        <is>
          <t>Enero</t>
        </is>
      </c>
      <c r="B4" s="23" t="n">
        <v>120</v>
      </c>
      <c r="C4" s="24" t="n">
        <v>92</v>
      </c>
      <c r="D4" s="24" t="n">
        <v>2.8</v>
      </c>
      <c r="E4" s="24" t="n">
        <v>85</v>
      </c>
      <c r="F4" s="24" t="n">
        <v>145</v>
      </c>
    </row>
    <row r="5">
      <c r="A5" s="3" t="inlineStr">
        <is>
          <t>Febrero</t>
        </is>
      </c>
      <c r="B5" s="25" t="n">
        <v>145</v>
      </c>
      <c r="C5" s="10" t="n">
        <v>94</v>
      </c>
      <c r="D5" s="10" t="n">
        <v>2.6</v>
      </c>
      <c r="E5" s="10" t="n">
        <v>87</v>
      </c>
      <c r="F5" s="10" t="n">
        <v>152</v>
      </c>
    </row>
    <row r="6">
      <c r="A6" s="17" t="inlineStr">
        <is>
          <t>Marzo</t>
        </is>
      </c>
      <c r="B6" s="23" t="n">
        <v>138</v>
      </c>
      <c r="C6" s="24" t="n">
        <v>91</v>
      </c>
      <c r="D6" s="24" t="n">
        <v>2.7</v>
      </c>
      <c r="E6" s="24" t="n">
        <v>86</v>
      </c>
      <c r="F6" s="24" t="n">
        <v>148</v>
      </c>
    </row>
    <row r="7">
      <c r="A7" s="3" t="inlineStr">
        <is>
          <t>Abril</t>
        </is>
      </c>
      <c r="B7" s="25" t="n">
        <v>162</v>
      </c>
      <c r="C7" s="10" t="n">
        <v>95</v>
      </c>
      <c r="D7" s="10" t="n">
        <v>2.4</v>
      </c>
      <c r="E7" s="10" t="n">
        <v>89</v>
      </c>
      <c r="F7" s="10" t="n">
        <v>165</v>
      </c>
    </row>
    <row r="8">
      <c r="A8" s="17" t="inlineStr">
        <is>
          <t>Mayo</t>
        </is>
      </c>
      <c r="B8" s="23" t="n">
        <v>175</v>
      </c>
      <c r="C8" s="24" t="n">
        <v>96</v>
      </c>
      <c r="D8" s="24" t="n">
        <v>2.3</v>
      </c>
      <c r="E8" s="24" t="n">
        <v>90</v>
      </c>
      <c r="F8" s="24" t="n">
        <v>178</v>
      </c>
    </row>
    <row r="9">
      <c r="A9" s="3" t="inlineStr">
        <is>
          <t>Junio</t>
        </is>
      </c>
      <c r="B9" s="25" t="n">
        <v>188</v>
      </c>
      <c r="C9" s="10" t="n">
        <v>97</v>
      </c>
      <c r="D9" s="10" t="n">
        <v>2.2</v>
      </c>
      <c r="E9" s="10" t="n">
        <v>92</v>
      </c>
      <c r="F9" s="10" t="n">
        <v>185</v>
      </c>
    </row>
    <row r="11">
      <c r="A11" s="14" t="inlineStr">
        <is>
          <t>ESTADÍSTICAS DESCRIPTIVAS</t>
        </is>
      </c>
      <c r="B11" s="30" t="n"/>
    </row>
    <row r="12">
      <c r="A12" s="26" t="inlineStr">
        <is>
          <t>Promedio Contenido:</t>
        </is>
      </c>
      <c r="B12" s="24">
        <f>PROMEDIO(B4:B9)</f>
        <v/>
      </c>
    </row>
    <row r="13">
      <c r="A13" s="9" t="inlineStr">
        <is>
          <t>Desviación Estándar:</t>
        </is>
      </c>
      <c r="B13" s="10">
        <f>DESVEST(B4:B9)</f>
        <v/>
      </c>
    </row>
    <row r="14">
      <c r="A14" s="26" t="inlineStr">
        <is>
          <t>Mínimo:</t>
        </is>
      </c>
      <c r="B14" s="24">
        <f>MIN(B4:B9)</f>
        <v/>
      </c>
    </row>
    <row r="15">
      <c r="A15" s="9" t="inlineStr">
        <is>
          <t>Máximo:</t>
        </is>
      </c>
      <c r="B15" s="10">
        <f>MAX(B4:B9)</f>
        <v/>
      </c>
    </row>
    <row r="16">
      <c r="A16" s="26" t="inlineStr">
        <is>
          <t>Mediana:</t>
        </is>
      </c>
      <c r="B16" s="24">
        <f>MEDIANA(B4:B9)</f>
        <v/>
      </c>
    </row>
    <row r="17">
      <c r="A17" s="9" t="inlineStr">
        <is>
          <t>Tasa Éxito Promedio:</t>
        </is>
      </c>
      <c r="B17" s="10">
        <f>PROMEDIO(C4:C9)</f>
        <v/>
      </c>
    </row>
    <row r="18">
      <c r="A18" s="26" t="inlineStr">
        <is>
          <t>ROI Promedio:</t>
        </is>
      </c>
      <c r="B18" s="24">
        <f>PROMEDIO(F4:F9)</f>
        <v/>
      </c>
    </row>
  </sheetData>
  <mergeCells count="2">
    <mergeCell ref="A11:B11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2" t="inlineStr">
        <is>
          <t>CASOS DE ESTUDIO Y RESULTADOS REALES</t>
        </is>
      </c>
    </row>
    <row r="2">
      <c r="A2" s="15" t="inlineStr">
        <is>
          <t>Caso</t>
        </is>
      </c>
      <c r="B2" s="15" t="inlineStr">
        <is>
          <t>Cliente</t>
        </is>
      </c>
      <c r="C2" s="15" t="inlineStr">
        <is>
          <t>Tipo Contenido</t>
        </is>
      </c>
      <c r="D2" s="15" t="inlineStr">
        <is>
          <t>Volumen</t>
        </is>
      </c>
      <c r="E2" s="15" t="inlineStr">
        <is>
          <t>Tiempo Ahorrado</t>
        </is>
      </c>
      <c r="F2" s="15" t="inlineStr">
        <is>
          <t>ROI %</t>
        </is>
      </c>
      <c r="G2" s="15" t="inlineStr">
        <is>
          <t>Satisfacción</t>
        </is>
      </c>
      <c r="H2" s="15" t="inlineStr">
        <is>
          <t>Estado</t>
        </is>
      </c>
    </row>
    <row r="3">
      <c r="A3" s="3" t="inlineStr">
        <is>
          <t>Caso 1</t>
        </is>
      </c>
      <c r="B3" s="3" t="inlineStr">
        <is>
          <t>TechCorp Inc.</t>
        </is>
      </c>
      <c r="C3" s="3" t="inlineStr">
        <is>
          <t>Blog Articles</t>
        </is>
      </c>
      <c r="D3" s="25" t="n">
        <v>150</v>
      </c>
      <c r="E3" s="25" t="n">
        <v>120</v>
      </c>
      <c r="F3" s="27" t="n">
        <v>185</v>
      </c>
      <c r="G3" s="27" t="n">
        <v>94</v>
      </c>
      <c r="H3" s="3" t="inlineStr">
        <is>
          <t>Completado</t>
        </is>
      </c>
    </row>
    <row r="4">
      <c r="A4" s="17" t="inlineStr">
        <is>
          <t>Caso 2</t>
        </is>
      </c>
      <c r="B4" s="17" t="inlineStr">
        <is>
          <t>StartupXYZ</t>
        </is>
      </c>
      <c r="C4" s="17" t="inlineStr">
        <is>
          <t>Social Media</t>
        </is>
      </c>
      <c r="D4" s="23" t="n">
        <v>500</v>
      </c>
      <c r="E4" s="23" t="n">
        <v>80</v>
      </c>
      <c r="F4" s="28" t="n">
        <v>220</v>
      </c>
      <c r="G4" s="28" t="n">
        <v>91</v>
      </c>
      <c r="H4" s="17" t="inlineStr">
        <is>
          <t>Completado</t>
        </is>
      </c>
    </row>
    <row r="5">
      <c r="A5" s="3" t="inlineStr">
        <is>
          <t>Caso 3</t>
        </is>
      </c>
      <c r="B5" s="3" t="inlineStr">
        <is>
          <t>Enterprise Ltd</t>
        </is>
      </c>
      <c r="C5" s="3" t="inlineStr">
        <is>
          <t>Email Marketing</t>
        </is>
      </c>
      <c r="D5" s="25" t="n">
        <v>200</v>
      </c>
      <c r="E5" s="25" t="n">
        <v>60</v>
      </c>
      <c r="F5" s="27" t="n">
        <v>165</v>
      </c>
      <c r="G5" s="27" t="n">
        <v>89</v>
      </c>
      <c r="H5" s="3" t="inlineStr">
        <is>
          <t>Completado</t>
        </is>
      </c>
    </row>
    <row r="6">
      <c r="A6" s="17" t="inlineStr">
        <is>
          <t>Caso 4</t>
        </is>
      </c>
      <c r="B6" s="17" t="inlineStr">
        <is>
          <t>E-commerce Co</t>
        </is>
      </c>
      <c r="C6" s="17" t="inlineStr">
        <is>
          <t>Product Descriptions</t>
        </is>
      </c>
      <c r="D6" s="23" t="n">
        <v>1000</v>
      </c>
      <c r="E6" s="23" t="n">
        <v>200</v>
      </c>
      <c r="F6" s="28" t="n">
        <v>195</v>
      </c>
      <c r="G6" s="28" t="n">
        <v>93</v>
      </c>
      <c r="H6" s="17" t="inlineStr">
        <is>
          <t>En Proceso</t>
        </is>
      </c>
    </row>
    <row r="7">
      <c r="A7" s="3" t="inlineStr">
        <is>
          <t>Caso 5</t>
        </is>
      </c>
      <c r="B7" s="3" t="inlineStr">
        <is>
          <t>SaaS Platform</t>
        </is>
      </c>
      <c r="C7" s="3" t="inlineStr">
        <is>
          <t>Landing Pages</t>
        </is>
      </c>
      <c r="D7" s="25" t="n">
        <v>25</v>
      </c>
      <c r="E7" s="25" t="n">
        <v>40</v>
      </c>
      <c r="F7" s="27" t="n">
        <v>210</v>
      </c>
      <c r="G7" s="27" t="n">
        <v>96</v>
      </c>
      <c r="H7" s="3" t="inlineStr">
        <is>
          <t>Completado</t>
        </is>
      </c>
    </row>
    <row r="8">
      <c r="A8" s="17" t="inlineStr">
        <is>
          <t>Caso 6</t>
        </is>
      </c>
      <c r="B8" s="17" t="inlineStr">
        <is>
          <t>Agency Pro</t>
        </is>
      </c>
      <c r="C8" s="17" t="inlineStr">
        <is>
          <t>Copywriting</t>
        </is>
      </c>
      <c r="D8" s="23" t="n">
        <v>300</v>
      </c>
      <c r="E8" s="23" t="n">
        <v>100</v>
      </c>
      <c r="F8" s="28" t="n">
        <v>175</v>
      </c>
      <c r="G8" s="28" t="n">
        <v>88</v>
      </c>
      <c r="H8" s="17" t="inlineStr">
        <is>
          <t>Completado</t>
        </is>
      </c>
    </row>
    <row r="9">
      <c r="A9" s="3" t="inlineStr">
        <is>
          <t>Caso 7</t>
        </is>
      </c>
      <c r="B9" s="3" t="inlineStr">
        <is>
          <t>Media Group</t>
        </is>
      </c>
      <c r="C9" s="3" t="inlineStr">
        <is>
          <t>SEO Content</t>
        </is>
      </c>
      <c r="D9" s="25" t="n">
        <v>200</v>
      </c>
      <c r="E9" s="25" t="n">
        <v>90</v>
      </c>
      <c r="F9" s="27" t="n">
        <v>190</v>
      </c>
      <c r="G9" s="27" t="n">
        <v>92</v>
      </c>
      <c r="H9" s="3" t="inlineStr">
        <is>
          <t>Completado</t>
        </is>
      </c>
    </row>
    <row r="10">
      <c r="A10" s="17" t="inlineStr">
        <is>
          <t>Caso 8</t>
        </is>
      </c>
      <c r="B10" s="17" t="inlineStr">
        <is>
          <t>Consulting Firm</t>
        </is>
      </c>
      <c r="C10" s="17" t="inlineStr">
        <is>
          <t>Technical Docs</t>
        </is>
      </c>
      <c r="D10" s="23" t="n">
        <v>50</v>
      </c>
      <c r="E10" s="23" t="n">
        <v>60</v>
      </c>
      <c r="F10" s="28" t="n">
        <v>155</v>
      </c>
      <c r="G10" s="28" t="n">
        <v>90</v>
      </c>
      <c r="H10" s="17" t="inlineStr">
        <is>
          <t>Completado</t>
        </is>
      </c>
    </row>
    <row r="11"/>
    <row r="12">
      <c r="A12" s="31" t="inlineStr">
        <is>
          <t>ESTADÍSTICAS AGREGADAS</t>
        </is>
      </c>
    </row>
    <row r="13">
      <c r="A13" s="9" t="inlineStr">
        <is>
          <t>Total Casos:</t>
        </is>
      </c>
      <c r="B13" s="3">
        <f>CONTAR.SI(H3:H10,"Completado")</f>
        <v/>
      </c>
    </row>
    <row r="14">
      <c r="A14" s="9" t="inlineStr">
        <is>
          <t>Volumen Total:</t>
        </is>
      </c>
      <c r="B14" s="25">
        <f>SUMA(D3:D10)</f>
        <v/>
      </c>
    </row>
    <row r="15">
      <c r="A15" s="9" t="inlineStr">
        <is>
          <t>Tiempo Ahorrado Total (horas):</t>
        </is>
      </c>
      <c r="B15" s="25">
        <f>SUMA(E3:E10)</f>
        <v/>
      </c>
    </row>
    <row r="16">
      <c r="A16" s="9" t="inlineStr">
        <is>
          <t>ROI Promedio:</t>
        </is>
      </c>
      <c r="B16" s="16">
        <f>PROMEDIO(F3:F10)</f>
        <v/>
      </c>
    </row>
    <row r="17">
      <c r="A17" s="9" t="inlineStr">
        <is>
          <t>Satisfacción Promedio:</t>
        </is>
      </c>
      <c r="B17" s="16">
        <f>PROMEDIO(G3:G10)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2" t="inlineStr">
        <is>
          <t>BENCHMARKS Y COMPARATIVA CON COMPETIDORES</t>
        </is>
      </c>
    </row>
    <row r="2">
      <c r="A2" s="15" t="inlineStr">
        <is>
          <t>Métrica</t>
        </is>
      </c>
      <c r="B2" s="15" t="inlineStr">
        <is>
          <t>Este Sistema</t>
        </is>
      </c>
      <c r="C2" s="15" t="inlineStr">
        <is>
          <t>Competidor A</t>
        </is>
      </c>
      <c r="D2" s="15" t="inlineStr">
        <is>
          <t>Competidor B</t>
        </is>
      </c>
      <c r="E2" s="15" t="inlineStr">
        <is>
          <t>Competidor C</t>
        </is>
      </c>
      <c r="F2" s="15" t="inlineStr">
        <is>
          <t>Mejor</t>
        </is>
      </c>
      <c r="G2" s="15" t="inlineStr">
        <is>
          <t>Ventaja %</t>
        </is>
      </c>
    </row>
    <row r="3">
      <c r="A3" s="3" t="inlineStr">
        <is>
          <t>Tipos de Contenido</t>
        </is>
      </c>
      <c r="B3" s="25" t="n">
        <v>10</v>
      </c>
      <c r="C3" s="46" t="n">
        <v>7</v>
      </c>
      <c r="D3" s="25" t="n">
        <v>8</v>
      </c>
      <c r="E3" s="25" t="n">
        <v>6</v>
      </c>
      <c r="F3" s="3" t="inlineStr">
        <is>
          <t>Este Sistema</t>
        </is>
      </c>
      <c r="G3" s="16">
        <f>((B3-MAX(C3:E3))/MAX(C3:E3))*100</f>
        <v/>
      </c>
    </row>
    <row r="4">
      <c r="A4" s="17" t="inlineStr">
        <is>
          <t>Tasa de Éxito (%)</t>
        </is>
      </c>
      <c r="B4" s="28" t="n">
        <v>95</v>
      </c>
      <c r="C4" s="47" t="n">
        <v>88</v>
      </c>
      <c r="D4" s="28" t="n">
        <v>91</v>
      </c>
      <c r="E4" s="28" t="n">
        <v>85</v>
      </c>
      <c r="F4" s="17" t="inlineStr">
        <is>
          <t>Este Sistema</t>
        </is>
      </c>
      <c r="G4" s="18">
        <f>((B4-MAX(C4:E4))/MAX(C4:E4))*100</f>
        <v/>
      </c>
    </row>
    <row r="5">
      <c r="A5" s="3" t="inlineStr">
        <is>
          <t>Tiempo Promedio (min)</t>
        </is>
      </c>
      <c r="B5" s="25" t="n">
        <v>2.5</v>
      </c>
      <c r="C5" s="46" t="n">
        <v>3.8</v>
      </c>
      <c r="D5" s="25" t="n">
        <v>3.2</v>
      </c>
      <c r="E5" s="25" t="n">
        <v>4.1</v>
      </c>
      <c r="F5" s="3" t="inlineStr">
        <is>
          <t>Este Sistema</t>
        </is>
      </c>
      <c r="G5" s="16">
        <f>((MIN(C5:E5)-B5)/MIN(C5:E5))*100</f>
        <v/>
      </c>
    </row>
    <row r="6">
      <c r="A6" s="17" t="inlineStr">
        <is>
          <t>Precisión ML (%)</t>
        </is>
      </c>
      <c r="B6" s="28" t="n">
        <v>94</v>
      </c>
      <c r="C6" s="47" t="n">
        <v>89</v>
      </c>
      <c r="D6" s="28" t="n">
        <v>91</v>
      </c>
      <c r="E6" s="28" t="n">
        <v>87</v>
      </c>
      <c r="F6" s="17" t="inlineStr">
        <is>
          <t>Este Sistema</t>
        </is>
      </c>
      <c r="G6" s="18">
        <f>((B6-MAX(C6:E6))/MAX(C6:E6))*100</f>
        <v/>
      </c>
    </row>
    <row r="7">
      <c r="A7" s="3" t="inlineStr">
        <is>
          <t>Costo por Contenido ($)</t>
        </is>
      </c>
      <c r="B7" s="25" t="n">
        <v>35</v>
      </c>
      <c r="C7" s="46" t="n">
        <v>45</v>
      </c>
      <c r="D7" s="25" t="n">
        <v>40</v>
      </c>
      <c r="E7" s="25" t="n">
        <v>50</v>
      </c>
      <c r="F7" s="3" t="inlineStr">
        <is>
          <t>Este Sistema</t>
        </is>
      </c>
      <c r="G7" s="16">
        <f>((MIN(C7:E7)-B7)/MIN(C7:E7))*100</f>
        <v/>
      </c>
    </row>
    <row r="8">
      <c r="A8" s="17" t="inlineStr">
        <is>
          <t>Satisfacción Usuario (%)</t>
        </is>
      </c>
      <c r="B8" s="28" t="n">
        <v>87</v>
      </c>
      <c r="C8" s="47" t="n">
        <v>82</v>
      </c>
      <c r="D8" s="28" t="n">
        <v>84</v>
      </c>
      <c r="E8" s="28" t="n">
        <v>79</v>
      </c>
      <c r="F8" s="17" t="inlineStr">
        <is>
          <t>Este Sistema</t>
        </is>
      </c>
      <c r="G8" s="18">
        <f>((B8-MAX(C8:E8))/MAX(C8:E8))*100</f>
        <v/>
      </c>
    </row>
    <row r="9">
      <c r="A9" s="3" t="inlineStr">
        <is>
          <t>Plataformas Soportadas</t>
        </is>
      </c>
      <c r="B9" s="25" t="n">
        <v>8</v>
      </c>
      <c r="C9" s="46" t="n">
        <v>5</v>
      </c>
      <c r="D9" s="25" t="n">
        <v>6</v>
      </c>
      <c r="E9" s="25" t="n">
        <v>4</v>
      </c>
      <c r="F9" s="3" t="inlineStr">
        <is>
          <t>Este Sistema</t>
        </is>
      </c>
      <c r="G9" s="16">
        <f>((B9-MAX(C9:E9))/MAX(C9:E9))*100</f>
        <v/>
      </c>
    </row>
    <row r="10">
      <c r="A10" s="17" t="inlineStr">
        <is>
          <t>Tiempo de Respuesta API (ms)</t>
        </is>
      </c>
      <c r="B10" s="23" t="n">
        <v>120</v>
      </c>
      <c r="C10" s="47" t="n">
        <v>180</v>
      </c>
      <c r="D10" s="23" t="n">
        <v>150</v>
      </c>
      <c r="E10" s="23" t="n">
        <v>200</v>
      </c>
      <c r="F10" s="17" t="inlineStr">
        <is>
          <t>Este Sistema</t>
        </is>
      </c>
      <c r="G10" s="18">
        <f>((MIN(C10:E10)-B10)/MIN(C10:E10))*100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2" t="inlineStr">
        <is>
          <t>GUÍA DE TROUBLESHOOTING Y SOLUCIÓN DE PROBLEMAS</t>
        </is>
      </c>
    </row>
    <row r="2">
      <c r="A2" s="15" t="inlineStr">
        <is>
          <t>Problema</t>
        </is>
      </c>
      <c r="B2" s="15" t="inlineStr">
        <is>
          <t>Síntoma</t>
        </is>
      </c>
      <c r="C2" s="15" t="inlineStr">
        <is>
          <t>Causa Probable</t>
        </is>
      </c>
      <c r="D2" s="15" t="inlineStr">
        <is>
          <t>Solución</t>
        </is>
      </c>
      <c r="E2" s="15" t="inlineStr">
        <is>
          <t>Prioridad</t>
        </is>
      </c>
      <c r="F2" s="15" t="inlineStr">
        <is>
          <t>Frecuencia</t>
        </is>
      </c>
      <c r="G2" s="15" t="inlineStr">
        <is>
          <t>Estado</t>
        </is>
      </c>
    </row>
    <row r="3">
      <c r="A3" s="3" t="inlineStr">
        <is>
          <t>Contenido Incompleto</t>
        </is>
      </c>
      <c r="B3" s="3" t="inlineStr">
        <is>
          <t>Falta información clave</t>
        </is>
      </c>
      <c r="C3" s="3" t="inlineStr">
        <is>
          <t>Brief poco detallado</t>
        </is>
      </c>
      <c r="D3" s="3" t="inlineStr">
        <is>
          <t>Proporcionar más contexto en brief</t>
        </is>
      </c>
      <c r="E3" s="3" t="inlineStr">
        <is>
          <t>Alta</t>
        </is>
      </c>
      <c r="F3" s="27" t="inlineStr">
        <is>
          <t>15%</t>
        </is>
      </c>
      <c r="G3" s="3" t="inlineStr">
        <is>
          <t>Resuelto</t>
        </is>
      </c>
    </row>
    <row r="4">
      <c r="A4" s="17" t="inlineStr">
        <is>
          <t>Formato Incorrecto</t>
        </is>
      </c>
      <c r="B4" s="17" t="inlineStr">
        <is>
          <t>No cumple reglas de formato</t>
        </is>
      </c>
      <c r="C4" s="17" t="inlineStr">
        <is>
          <t>Query type mal identificado</t>
        </is>
      </c>
      <c r="D4" s="17" t="inlineStr">
        <is>
          <t>Especificar tipo explícitamente</t>
        </is>
      </c>
      <c r="E4" s="17" t="inlineStr">
        <is>
          <t>Media</t>
        </is>
      </c>
      <c r="F4" s="28" t="inlineStr">
        <is>
          <t>8%</t>
        </is>
      </c>
      <c r="G4" s="17" t="inlineStr">
        <is>
          <t>Resuelto</t>
        </is>
      </c>
    </row>
    <row r="5">
      <c r="A5" s="3" t="inlineStr">
        <is>
          <t>Falta de Citaciones</t>
        </is>
      </c>
      <c r="B5" s="3" t="inlineStr">
        <is>
          <t>Sin referencias</t>
        </is>
      </c>
      <c r="C5" s="3" t="inlineStr">
        <is>
          <t>Research no proporcionado</t>
        </is>
      </c>
      <c r="D5" s="3" t="inlineStr">
        <is>
          <t>Incluir research insights</t>
        </is>
      </c>
      <c r="E5" s="3" t="inlineStr">
        <is>
          <t>Media</t>
        </is>
      </c>
      <c r="F5" s="27" t="inlineStr">
        <is>
          <t>12%</t>
        </is>
      </c>
      <c r="G5" s="3" t="inlineStr">
        <is>
          <t>Resuelto</t>
        </is>
      </c>
    </row>
    <row r="6">
      <c r="A6" s="17" t="inlineStr">
        <is>
          <t>Tono Inconsistente</t>
        </is>
      </c>
      <c r="B6" s="17" t="inlineStr">
        <is>
          <t>Voz de marca incorrecta</t>
        </is>
      </c>
      <c r="C6" s="17" t="inlineStr">
        <is>
          <t>Brand guidelines ausentes</t>
        </is>
      </c>
      <c r="D6" s="17" t="inlineStr">
        <is>
          <t>Proporcionar guidelines detalladas</t>
        </is>
      </c>
      <c r="E6" s="17" t="inlineStr">
        <is>
          <t>Alta</t>
        </is>
      </c>
      <c r="F6" s="28" t="inlineStr">
        <is>
          <t>10%</t>
        </is>
      </c>
      <c r="G6" s="17" t="inlineStr">
        <is>
          <t>Resuelto</t>
        </is>
      </c>
    </row>
    <row r="7">
      <c r="A7" s="3" t="inlineStr">
        <is>
          <t>Contenido Genérico</t>
        </is>
      </c>
      <c r="B7" s="3" t="inlineStr">
        <is>
          <t>Falta personalización</t>
        </is>
      </c>
      <c r="C7" s="3" t="inlineStr">
        <is>
          <t>Falta de detalles específicos</t>
        </is>
      </c>
      <c r="D7" s="3" t="inlineStr">
        <is>
          <t>Incluir detalles en brief</t>
        </is>
      </c>
      <c r="E7" s="3" t="inlineStr">
        <is>
          <t>Media</t>
        </is>
      </c>
      <c r="F7" s="27" t="inlineStr">
        <is>
          <t>18%</t>
        </is>
      </c>
      <c r="G7" s="3" t="inlineStr">
        <is>
          <t>En Proceso</t>
        </is>
      </c>
    </row>
    <row r="8">
      <c r="A8" s="17" t="inlineStr">
        <is>
          <t>Tiempo de Respuesta Lento</t>
        </is>
      </c>
      <c r="B8" s="17" t="inlineStr">
        <is>
          <t>&gt;5 minutos</t>
        </is>
      </c>
      <c r="C8" s="17" t="inlineStr">
        <is>
          <t>Carga alta del sistema</t>
        </is>
      </c>
      <c r="D8" s="17" t="inlineStr">
        <is>
          <t>Escalar recursos</t>
        </is>
      </c>
      <c r="E8" s="17" t="inlineStr">
        <is>
          <t>Alta</t>
        </is>
      </c>
      <c r="F8" s="28" t="inlineStr">
        <is>
          <t>5%</t>
        </is>
      </c>
      <c r="G8" s="17" t="inlineStr">
        <is>
          <t>Resuelto</t>
        </is>
      </c>
    </row>
    <row r="9">
      <c r="A9" s="3" t="inlineStr">
        <is>
          <t>Error de Validación</t>
        </is>
      </c>
      <c r="B9" s="3" t="inlineStr">
        <is>
          <t>Falla en validación</t>
        </is>
      </c>
      <c r="C9" s="3" t="inlineStr">
        <is>
          <t>Bug en reglas</t>
        </is>
      </c>
      <c r="D9" s="3" t="inlineStr">
        <is>
          <t>Actualizar reglas de validación</t>
        </is>
      </c>
      <c r="E9" s="3" t="inlineStr">
        <is>
          <t>Alta</t>
        </is>
      </c>
      <c r="F9" s="27" t="inlineStr">
        <is>
          <t>3%</t>
        </is>
      </c>
      <c r="G9" s="3" t="inlineStr">
        <is>
          <t>Resuelto</t>
        </is>
      </c>
    </row>
    <row r="10">
      <c r="A10" s="17" t="inlineStr">
        <is>
          <t>Contenido Duplicado</t>
        </is>
      </c>
      <c r="B10" s="17" t="inlineStr">
        <is>
          <t>Similar a contenido existente</t>
        </is>
      </c>
      <c r="C10" s="17" t="inlineStr">
        <is>
          <t>Falta de originalidad</t>
        </is>
      </c>
      <c r="D10" s="17" t="inlineStr">
        <is>
          <t>Mejorar algoritmo de originalidad</t>
        </is>
      </c>
      <c r="E10" s="17" t="inlineStr">
        <is>
          <t>Media</t>
        </is>
      </c>
      <c r="F10" s="28" t="inlineStr">
        <is>
          <t>7%</t>
        </is>
      </c>
      <c r="G10" s="17" t="inlineStr">
        <is>
          <t>En Proceso</t>
        </is>
      </c>
    </row>
    <row r="11"/>
    <row r="12">
      <c r="A12" s="31" t="inlineStr">
        <is>
          <t>RESUMEN DE PROBLEMAS</t>
        </is>
      </c>
    </row>
    <row r="13">
      <c r="A13" s="9" t="inlineStr">
        <is>
          <t>Total Problemas:</t>
        </is>
      </c>
      <c r="B13" s="25">
        <f>CONTARA(A3:A10)</f>
        <v/>
      </c>
    </row>
    <row r="14">
      <c r="A14" s="9" t="inlineStr">
        <is>
          <t>Resueltos:</t>
        </is>
      </c>
      <c r="B14" s="25">
        <f>CONTAR.SI(G3:G10,"Resuelto")</f>
        <v/>
      </c>
    </row>
    <row r="15">
      <c r="A15" s="9" t="inlineStr">
        <is>
          <t>En Proceso:</t>
        </is>
      </c>
      <c r="B15" s="25">
        <f>CONTAR.SI(G3:G10,"En Proceso")</f>
        <v/>
      </c>
    </row>
    <row r="16">
      <c r="A16" s="9" t="inlineStr">
        <is>
          <t>Tasa de Resolución:</t>
        </is>
      </c>
      <c r="B16" s="16">
        <f>B13/(B13+B14)*100</f>
        <v/>
      </c>
    </row>
    <row r="17">
      <c r="A17" s="9" t="inlineStr">
        <is>
          <t>Prioridad Alta:</t>
        </is>
      </c>
      <c r="B17" s="25">
        <f>CONTAR.SI(E3:E10,"Alta")</f>
        <v/>
      </c>
    </row>
    <row r="18">
      <c r="A18" s="9" t="inlineStr">
        <is>
          <t>Frecuencia Promedio:</t>
        </is>
      </c>
      <c r="B18" s="16">
        <f>PROMEDIO(F3:F10)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2" t="inlineStr">
        <is>
          <t>ROADMAP Y PLAN DE EVOLUCIÓN DEL SISTEMA</t>
        </is>
      </c>
    </row>
    <row r="2">
      <c r="A2" s="15" t="inlineStr">
        <is>
          <t>Versión</t>
        </is>
      </c>
      <c r="B2" s="15" t="inlineStr">
        <is>
          <t>Fecha Lanzamiento</t>
        </is>
      </c>
      <c r="C2" s="15" t="inlineStr">
        <is>
          <t>Características Principales</t>
        </is>
      </c>
      <c r="D2" s="15" t="inlineStr">
        <is>
          <t>Estado</t>
        </is>
      </c>
      <c r="E2" s="15" t="inlineStr">
        <is>
          <t>Prioridad</t>
        </is>
      </c>
      <c r="F2" s="15" t="inlineStr">
        <is>
          <t>Esfuerzo</t>
        </is>
      </c>
      <c r="G2" s="15" t="inlineStr">
        <is>
          <t>Impacto</t>
        </is>
      </c>
    </row>
    <row r="3">
      <c r="A3" s="3" t="inlineStr">
        <is>
          <t>v4.0</t>
        </is>
      </c>
      <c r="B3" s="44" t="n">
        <v>45790</v>
      </c>
      <c r="C3" s="3" t="inlineStr">
        <is>
          <t>ML avanzado, Análisis predictivo</t>
        </is>
      </c>
      <c r="D3" s="3" t="inlineStr">
        <is>
          <t>Lanzado</t>
        </is>
      </c>
      <c r="E3" s="3" t="inlineStr">
        <is>
          <t>Alta</t>
        </is>
      </c>
      <c r="F3" s="3" t="n">
        <v>8</v>
      </c>
      <c r="G3" s="3" t="inlineStr">
        <is>
          <t>Alto</t>
        </is>
      </c>
      <c r="H3" s="3" t="n">
        <v>4</v>
      </c>
    </row>
    <row r="4">
      <c r="A4" s="17" t="inlineStr">
        <is>
          <t>v4.1</t>
        </is>
      </c>
      <c r="B4" s="45" t="n">
        <v>45823</v>
      </c>
      <c r="C4" s="17" t="inlineStr">
        <is>
          <t>Soporte multi-idioma</t>
        </is>
      </c>
      <c r="D4" s="17" t="inlineStr">
        <is>
          <t>En Desarrollo</t>
        </is>
      </c>
      <c r="E4" s="17" t="inlineStr">
        <is>
          <t>Alta</t>
        </is>
      </c>
      <c r="F4" s="17" t="n">
        <v>6</v>
      </c>
      <c r="G4" s="17" t="inlineStr">
        <is>
          <t>Alto</t>
        </is>
      </c>
      <c r="H4" s="3" t="n">
        <v>4</v>
      </c>
    </row>
    <row r="5">
      <c r="A5" s="3" t="inlineStr">
        <is>
          <t>v4.2</t>
        </is>
      </c>
      <c r="B5" s="44" t="n">
        <v>45858</v>
      </c>
      <c r="C5" s="3" t="inlineStr">
        <is>
          <t>Integración con más plataformas</t>
        </is>
      </c>
      <c r="D5" s="3" t="inlineStr">
        <is>
          <t>Planificado</t>
        </is>
      </c>
      <c r="E5" s="3" t="inlineStr">
        <is>
          <t>Media</t>
        </is>
      </c>
      <c r="F5" s="3" t="n">
        <v>5</v>
      </c>
      <c r="G5" s="3" t="inlineStr">
        <is>
          <t>Medio</t>
        </is>
      </c>
      <c r="H5" s="3" t="n">
        <v>3</v>
      </c>
    </row>
    <row r="6">
      <c r="A6" s="17" t="inlineStr">
        <is>
          <t>v4.3</t>
        </is>
      </c>
      <c r="B6" s="45" t="n">
        <v>45899</v>
      </c>
      <c r="C6" s="17" t="inlineStr">
        <is>
          <t>Generación de contenido multimedia</t>
        </is>
      </c>
      <c r="D6" s="17" t="inlineStr">
        <is>
          <t>Planificado</t>
        </is>
      </c>
      <c r="E6" s="17" t="inlineStr">
        <is>
          <t>Alta</t>
        </is>
      </c>
      <c r="F6" s="17" t="n">
        <v>9</v>
      </c>
      <c r="G6" s="17" t="inlineStr">
        <is>
          <t>Alto</t>
        </is>
      </c>
      <c r="H6" s="3" t="n">
        <v>4</v>
      </c>
    </row>
    <row r="7">
      <c r="A7" s="3" t="inlineStr">
        <is>
          <t>v4.4</t>
        </is>
      </c>
      <c r="B7" s="44" t="n">
        <v>45940</v>
      </c>
      <c r="C7" s="3" t="inlineStr">
        <is>
          <t>A/B testing integrado</t>
        </is>
      </c>
      <c r="D7" s="3" t="inlineStr">
        <is>
          <t>Planificado</t>
        </is>
      </c>
      <c r="E7" s="3" t="inlineStr">
        <is>
          <t>Media</t>
        </is>
      </c>
      <c r="F7" s="3" t="n">
        <v>4</v>
      </c>
      <c r="G7" s="3" t="inlineStr">
        <is>
          <t>Medio</t>
        </is>
      </c>
      <c r="H7" s="3" t="n">
        <v>3</v>
      </c>
    </row>
    <row r="8">
      <c r="A8" s="17" t="inlineStr">
        <is>
          <t>v5.0</t>
        </is>
      </c>
      <c r="B8" s="45" t="n">
        <v>46037</v>
      </c>
      <c r="C8" s="17" t="inlineStr">
        <is>
          <t>Arquitectura completamente nueva</t>
        </is>
      </c>
      <c r="D8" s="17" t="inlineStr">
        <is>
          <t>Planificado</t>
        </is>
      </c>
      <c r="E8" s="17" t="inlineStr">
        <is>
          <t>Alta</t>
        </is>
      </c>
      <c r="F8" s="17" t="n">
        <v>12</v>
      </c>
      <c r="G8" s="17" t="inlineStr">
        <is>
          <t>Muy Alto</t>
        </is>
      </c>
      <c r="H8" s="3" t="n">
        <v>5</v>
      </c>
    </row>
    <row r="9">
      <c r="A9" s="3" t="inlineStr">
        <is>
          <t>v5.1</t>
        </is>
      </c>
      <c r="B9" s="44" t="n">
        <v>46082</v>
      </c>
      <c r="C9" s="3" t="inlineStr">
        <is>
          <t>IA generativa avanzada (GPT-5)</t>
        </is>
      </c>
      <c r="D9" s="3" t="inlineStr">
        <is>
          <t>Planificado</t>
        </is>
      </c>
      <c r="E9" s="3" t="inlineStr">
        <is>
          <t>Alta</t>
        </is>
      </c>
      <c r="F9" s="3" t="n">
        <v>10</v>
      </c>
      <c r="G9" s="3" t="inlineStr">
        <is>
          <t>Muy Alto</t>
        </is>
      </c>
      <c r="H9" s="3" t="n">
        <v>5</v>
      </c>
    </row>
    <row r="10">
      <c r="A10" s="17" t="inlineStr">
        <is>
          <t>v5.2</t>
        </is>
      </c>
      <c r="B10" s="45" t="n">
        <v>46157</v>
      </c>
      <c r="C10" s="17" t="inlineStr">
        <is>
          <t>Análisis de sentimiento en tiempo real</t>
        </is>
      </c>
      <c r="D10" s="17" t="inlineStr">
        <is>
          <t>Planificado</t>
        </is>
      </c>
      <c r="E10" s="17" t="inlineStr">
        <is>
          <t>Media</t>
        </is>
      </c>
      <c r="F10" s="17" t="n">
        <v>6</v>
      </c>
      <c r="G10" s="17" t="inlineStr">
        <is>
          <t>Medio</t>
        </is>
      </c>
      <c r="H10" s="3" t="n">
        <v>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2" t="inlineStr">
        <is>
          <t>ANÁLISIS PREDICTIVO Y FORECASTING</t>
        </is>
      </c>
      <c r="B1" s="29" t="n"/>
      <c r="C1" s="29" t="n"/>
      <c r="D1" s="29" t="n"/>
      <c r="E1" s="29" t="n"/>
      <c r="F1" s="30" t="n"/>
    </row>
    <row r="3">
      <c r="A3" s="15" t="inlineStr">
        <is>
          <t>MES</t>
        </is>
      </c>
      <c r="B3" s="15" t="inlineStr">
        <is>
          <t>Contenido Real</t>
        </is>
      </c>
      <c r="C3" s="15" t="inlineStr">
        <is>
          <t>Contenido Predicho</t>
        </is>
      </c>
      <c r="D3" s="15" t="inlineStr">
        <is>
          <t>Error %</t>
        </is>
      </c>
      <c r="E3" s="15" t="inlineStr">
        <is>
          <t>Tendencia</t>
        </is>
      </c>
      <c r="F3" s="15" t="inlineStr">
        <is>
          <t>Confianza</t>
        </is>
      </c>
    </row>
    <row r="4">
      <c r="A4" s="17" t="inlineStr">
        <is>
          <t>Enero</t>
        </is>
      </c>
      <c r="B4" s="17" t="n">
        <v>120</v>
      </c>
      <c r="C4" s="17" t="n">
        <v>115</v>
      </c>
      <c r="D4" s="18">
        <f>ABS((B4-C4)/B4)*100</f>
        <v/>
      </c>
      <c r="E4" s="17" t="inlineStr">
        <is>
          <t>Creciente</t>
        </is>
      </c>
      <c r="F4" s="24" t="n">
        <v>0.85</v>
      </c>
    </row>
    <row r="5">
      <c r="A5" s="3" t="inlineStr">
        <is>
          <t>Febrero</t>
        </is>
      </c>
      <c r="B5" s="3" t="n">
        <v>145</v>
      </c>
      <c r="C5" s="3" t="n">
        <v>140</v>
      </c>
      <c r="D5" s="16">
        <f>ABS((B5-C5)/B5)*100</f>
        <v/>
      </c>
      <c r="E5" s="3" t="inlineStr">
        <is>
          <t>Creciente</t>
        </is>
      </c>
      <c r="F5" s="10" t="n">
        <v>0.88</v>
      </c>
    </row>
    <row r="6">
      <c r="A6" s="17" t="inlineStr">
        <is>
          <t>Marzo</t>
        </is>
      </c>
      <c r="B6" s="17" t="n">
        <v>138</v>
      </c>
      <c r="C6" s="17" t="n">
        <v>142</v>
      </c>
      <c r="D6" s="18">
        <f>ABS((B6-C6)/B6)*100</f>
        <v/>
      </c>
      <c r="E6" s="17" t="inlineStr">
        <is>
          <t>Estable</t>
        </is>
      </c>
      <c r="F6" s="24" t="n">
        <v>0.82</v>
      </c>
    </row>
    <row r="7">
      <c r="A7" s="3" t="inlineStr">
        <is>
          <t>Abril</t>
        </is>
      </c>
      <c r="B7" s="3" t="n">
        <v>162</v>
      </c>
      <c r="C7" s="3" t="n">
        <v>158</v>
      </c>
      <c r="D7" s="16">
        <f>ABS((B7-C7)/B7)*100</f>
        <v/>
      </c>
      <c r="E7" s="3" t="inlineStr">
        <is>
          <t>Creciente</t>
        </is>
      </c>
      <c r="F7" s="10" t="n">
        <v>0.9</v>
      </c>
    </row>
    <row r="8">
      <c r="A8" s="17" t="inlineStr">
        <is>
          <t>Mayo</t>
        </is>
      </c>
      <c r="B8" s="17" t="n">
        <v>175</v>
      </c>
      <c r="C8" s="17" t="n">
        <v>170</v>
      </c>
      <c r="D8" s="18">
        <f>ABS((B8-C8)/B8)*100</f>
        <v/>
      </c>
      <c r="E8" s="17" t="inlineStr">
        <is>
          <t>Creciente</t>
        </is>
      </c>
      <c r="F8" s="24" t="n">
        <v>0.92</v>
      </c>
    </row>
    <row r="9">
      <c r="A9" s="3" t="inlineStr">
        <is>
          <t>Junio</t>
        </is>
      </c>
      <c r="B9" s="3" t="n">
        <v>188</v>
      </c>
      <c r="C9" s="3" t="n">
        <v>185</v>
      </c>
      <c r="D9" s="16">
        <f>ABS((B9-C9)/B9)*100</f>
        <v/>
      </c>
      <c r="E9" s="3" t="inlineStr">
        <is>
          <t>Creciente</t>
        </is>
      </c>
      <c r="F9" s="10" t="n">
        <v>0.9399999999999999</v>
      </c>
    </row>
    <row r="10">
      <c r="A10" s="17" t="inlineStr">
        <is>
          <t>Julio (Pred)</t>
        </is>
      </c>
      <c r="B10" s="38" t="inlineStr"/>
      <c r="C10" s="17" t="n">
        <v>195</v>
      </c>
      <c r="D10" s="38" t="inlineStr"/>
      <c r="E10" s="17" t="inlineStr">
        <is>
          <t>Creciente</t>
        </is>
      </c>
      <c r="F10" s="24" t="n">
        <v>0.91</v>
      </c>
    </row>
    <row r="11">
      <c r="A11" s="3" t="inlineStr">
        <is>
          <t>Agosto (Pred)</t>
        </is>
      </c>
      <c r="C11" s="3" t="n">
        <v>205</v>
      </c>
      <c r="E11" s="3" t="inlineStr">
        <is>
          <t>Creciente</t>
        </is>
      </c>
      <c r="F11" s="10" t="n">
        <v>0.89</v>
      </c>
    </row>
    <row r="12">
      <c r="A12" s="17" t="inlineStr">
        <is>
          <t>Septiembre (Pred)</t>
        </is>
      </c>
      <c r="B12" s="38" t="inlineStr"/>
      <c r="C12" s="17" t="n">
        <v>210</v>
      </c>
      <c r="D12" s="38" t="inlineStr"/>
      <c r="E12" s="17" t="inlineStr">
        <is>
          <t>Estable</t>
        </is>
      </c>
      <c r="F12" s="24" t="n">
        <v>0.87</v>
      </c>
    </row>
    <row r="14">
      <c r="A14" s="31" t="inlineStr">
        <is>
          <t>PREDICCIÓN (Regresión Lineal)</t>
        </is>
      </c>
    </row>
    <row r="15">
      <c r="A15" s="9" t="inlineStr">
        <is>
          <t>Pendiente (m):</t>
        </is>
      </c>
      <c r="B15" s="10">
        <f>PENDIENTE(B4:B9,{1;2;3;4;5;6})</f>
        <v/>
      </c>
    </row>
    <row r="16">
      <c r="A16" s="9" t="inlineStr">
        <is>
          <t>Intercepto (b):</t>
        </is>
      </c>
      <c r="B16" s="10">
        <f>INTERSECCION.EJE(B4:B9,{1;2;3;4;5;6})</f>
        <v/>
      </c>
    </row>
    <row r="17">
      <c r="A17" s="9" t="inlineStr">
        <is>
          <t>R² (Coeficiente Determinación):</t>
        </is>
      </c>
      <c r="B17" s="10">
        <f>COEFICIENTE.R2(B4:B9,{1;2;3;4;5;6})</f>
        <v/>
      </c>
    </row>
    <row r="19">
      <c r="A19" s="31" t="inlineStr">
        <is>
          <t>PRÓXIMAS PREDICCIONES</t>
        </is>
      </c>
    </row>
    <row r="20">
      <c r="C20" s="25">
        <f>B15*7+B16</f>
        <v/>
      </c>
    </row>
    <row r="21">
      <c r="C21" s="25">
        <f>B15*8+B16</f>
        <v/>
      </c>
    </row>
    <row r="22">
      <c r="C22" s="25">
        <f>B15*9+B16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2" t="inlineStr">
        <is>
          <t>MÉTRICAS DE MACHINE LEARNING Y OPTIMIZACIÓN</t>
        </is>
      </c>
      <c r="B1" s="29" t="n"/>
      <c r="C1" s="29" t="n"/>
      <c r="D1" s="29" t="n"/>
      <c r="E1" s="29" t="n"/>
      <c r="F1" s="29" t="n"/>
      <c r="G1" s="30" t="n"/>
    </row>
    <row r="3">
      <c r="A3" s="15" t="inlineStr">
        <is>
          <t>Métrica</t>
        </is>
      </c>
      <c r="B3" s="15" t="inlineStr">
        <is>
          <t>Valor Actual</t>
        </is>
      </c>
      <c r="C3" s="15" t="inlineStr">
        <is>
          <t>Valor Objetivo</t>
        </is>
      </c>
      <c r="D3" s="15" t="inlineStr">
        <is>
          <t>Mejora %</t>
        </is>
      </c>
      <c r="E3" s="15" t="inlineStr">
        <is>
          <t>Estado</t>
        </is>
      </c>
      <c r="F3" s="15" t="inlineStr">
        <is>
          <t>Última Actualización</t>
        </is>
      </c>
      <c r="G3" s="15" t="inlineStr">
        <is>
          <t>Tendencia</t>
        </is>
      </c>
    </row>
    <row r="4">
      <c r="A4" s="17" t="inlineStr">
        <is>
          <t>Precisión (Accuracy)</t>
        </is>
      </c>
      <c r="B4" s="24" t="n">
        <v>0.9399999999999999</v>
      </c>
      <c r="C4" s="24" t="n">
        <v>0.9</v>
      </c>
      <c r="D4" s="18">
        <f>((B4-C4)/C4)*100</f>
        <v/>
      </c>
      <c r="E4" s="17">
        <f>SI(B4&gt;=C4,"✓","⚠")</f>
        <v/>
      </c>
      <c r="F4" s="17" t="inlineStr">
        <is>
          <t>2025-05-13</t>
        </is>
      </c>
      <c r="G4" s="17" t="inlineStr">
        <is>
          <t>↑</t>
        </is>
      </c>
    </row>
    <row r="5">
      <c r="A5" s="3" t="inlineStr">
        <is>
          <t>Precisión (Precision)</t>
        </is>
      </c>
      <c r="B5" s="10" t="n">
        <v>0.91</v>
      </c>
      <c r="C5" s="10" t="n">
        <v>0.88</v>
      </c>
      <c r="D5" s="16">
        <f>((B5-C5)/C5)*100</f>
        <v/>
      </c>
      <c r="E5" s="3">
        <f>SI(B5&gt;=C5,"✓","⚠")</f>
        <v/>
      </c>
      <c r="F5" s="3" t="inlineStr">
        <is>
          <t>2025-05-13</t>
        </is>
      </c>
      <c r="G5" s="3" t="inlineStr">
        <is>
          <t>↑</t>
        </is>
      </c>
    </row>
    <row r="6">
      <c r="A6" s="17" t="inlineStr">
        <is>
          <t>Recall (Sensibilidad)</t>
        </is>
      </c>
      <c r="B6" s="24" t="n">
        <v>0.89</v>
      </c>
      <c r="C6" s="24" t="n">
        <v>0.85</v>
      </c>
      <c r="D6" s="18">
        <f>((B6-C6)/C6)*100</f>
        <v/>
      </c>
      <c r="E6" s="17">
        <f>SI(B6&gt;=C6,"✓","⚠")</f>
        <v/>
      </c>
      <c r="F6" s="17" t="inlineStr">
        <is>
          <t>2025-05-13</t>
        </is>
      </c>
      <c r="G6" s="17" t="inlineStr">
        <is>
          <t>↑</t>
        </is>
      </c>
    </row>
    <row r="7">
      <c r="A7" s="3" t="inlineStr">
        <is>
          <t>F1-Score</t>
        </is>
      </c>
      <c r="B7" s="10" t="n">
        <v>0.9</v>
      </c>
      <c r="C7" s="10" t="n">
        <v>0.86</v>
      </c>
      <c r="D7" s="16">
        <f>((B7-C7)/C7)*100</f>
        <v/>
      </c>
      <c r="E7" s="3">
        <f>SI(B7&gt;=C7,"✓","⚠")</f>
        <v/>
      </c>
      <c r="F7" s="3" t="inlineStr">
        <is>
          <t>2025-05-13</t>
        </is>
      </c>
      <c r="G7" s="3" t="inlineStr">
        <is>
          <t>↑</t>
        </is>
      </c>
    </row>
    <row r="8">
      <c r="A8" s="17" t="inlineStr">
        <is>
          <t>AUC-ROC</t>
        </is>
      </c>
      <c r="B8" s="24" t="n">
        <v>0.93</v>
      </c>
      <c r="C8" s="24" t="n">
        <v>0.9</v>
      </c>
      <c r="D8" s="18">
        <f>((B8-C8)/C8)*100</f>
        <v/>
      </c>
      <c r="E8" s="17">
        <f>SI(B8&gt;=C8,"✓","⚠")</f>
        <v/>
      </c>
      <c r="F8" s="17" t="inlineStr">
        <is>
          <t>2025-05-13</t>
        </is>
      </c>
      <c r="G8" s="17" t="inlineStr">
        <is>
          <t>↑</t>
        </is>
      </c>
    </row>
    <row r="9">
      <c r="A9" s="3" t="inlineStr">
        <is>
          <t>Tasa de Falsos Positivos</t>
        </is>
      </c>
      <c r="B9" s="10" t="n">
        <v>0.05</v>
      </c>
      <c r="C9" s="10" t="n">
        <v>0.1</v>
      </c>
      <c r="D9" s="16">
        <f>((B9-C9)/C9)*100</f>
        <v/>
      </c>
      <c r="E9" s="3">
        <f>SI(B9&lt;=C9,"✓","⚠")</f>
        <v/>
      </c>
      <c r="F9" s="3" t="inlineStr">
        <is>
          <t>2025-05-13</t>
        </is>
      </c>
      <c r="G9" s="3" t="inlineStr">
        <is>
          <t>↓</t>
        </is>
      </c>
    </row>
    <row r="10">
      <c r="A10" s="17" t="inlineStr">
        <is>
          <t>Tiempo de Entrenamiento (min)</t>
        </is>
      </c>
      <c r="B10" s="24" t="n">
        <v>45</v>
      </c>
      <c r="C10" s="24" t="n">
        <v>60</v>
      </c>
      <c r="D10" s="18">
        <f>((B10-C10)/C10)*100</f>
        <v/>
      </c>
      <c r="E10" s="17">
        <f>SI(B10&lt;=C10,"✓","⚠")</f>
        <v/>
      </c>
      <c r="F10" s="17" t="inlineStr">
        <is>
          <t>2025-05-13</t>
        </is>
      </c>
      <c r="G10" s="17" t="inlineStr">
        <is>
          <t>↓</t>
        </is>
      </c>
    </row>
    <row r="12">
      <c r="A12" s="31" t="inlineStr">
        <is>
          <t>MATRIZ DE CONFUSIÓN</t>
        </is>
      </c>
      <c r="B12" s="29" t="n"/>
      <c r="C12" s="29" t="n"/>
      <c r="D12" s="30" t="n"/>
    </row>
    <row r="13">
      <c r="A13" s="39" t="inlineStr"/>
      <c r="B13" s="40" t="inlineStr">
        <is>
          <t>Predicho: Positivo</t>
        </is>
      </c>
      <c r="C13" s="40" t="inlineStr">
        <is>
          <t>Predicho: Negativo</t>
        </is>
      </c>
    </row>
    <row r="14">
      <c r="A14" s="9" t="inlineStr">
        <is>
          <t>Real: Positivo</t>
        </is>
      </c>
      <c r="B14" s="41" t="n">
        <v>850</v>
      </c>
      <c r="C14" s="42" t="n">
        <v>50</v>
      </c>
    </row>
    <row r="15">
      <c r="A15" s="9" t="inlineStr">
        <is>
          <t>Real: Negativo</t>
        </is>
      </c>
      <c r="B15" s="42" t="n">
        <v>45</v>
      </c>
      <c r="C15" s="41" t="n">
        <v>55</v>
      </c>
    </row>
    <row r="17">
      <c r="A17" s="9" t="inlineStr">
        <is>
          <t>CÁLCULOS DESDE MATRIZ</t>
        </is>
      </c>
    </row>
    <row r="18">
      <c r="A18" s="3" t="inlineStr">
        <is>
          <t>Verdaderos Positivos (TP):</t>
        </is>
      </c>
      <c r="B18" s="3">
        <f>B14</f>
        <v/>
      </c>
    </row>
    <row r="19">
      <c r="A19" s="3" t="inlineStr">
        <is>
          <t>Falsos Positivos (FP):</t>
        </is>
      </c>
      <c r="B19" s="3">
        <f>B15</f>
        <v/>
      </c>
    </row>
    <row r="20">
      <c r="A20" s="3" t="inlineStr">
        <is>
          <t>Falsos Negativos (FN):</t>
        </is>
      </c>
      <c r="B20" s="3">
        <f>C14</f>
        <v/>
      </c>
    </row>
    <row r="21">
      <c r="A21" s="3" t="inlineStr">
        <is>
          <t>Verdaderos Negativos (TN):</t>
        </is>
      </c>
      <c r="B21" s="3">
        <f>C15</f>
        <v/>
      </c>
    </row>
    <row r="22">
      <c r="A22" s="3" t="inlineStr">
        <is>
          <t>Precisión Calculada:</t>
        </is>
      </c>
      <c r="B22" s="10">
        <f>B18/(B18+B19)</f>
        <v/>
      </c>
    </row>
    <row r="23">
      <c r="A23" s="3" t="inlineStr">
        <is>
          <t>Recall Calculado:</t>
        </is>
      </c>
      <c r="B23" s="10">
        <f>B18/(B18+B20)</f>
        <v/>
      </c>
    </row>
    <row r="24">
      <c r="A24" s="3" t="inlineStr">
        <is>
          <t>F1-Score Calculado:</t>
        </is>
      </c>
      <c r="B24" s="10">
        <f>2*B22*B23/(B22+B23)</f>
        <v/>
      </c>
    </row>
  </sheetData>
  <mergeCells count="2">
    <mergeCell ref="A12:D1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2" t="inlineStr">
        <is>
          <t>OPTIMIZACIÓN AVANZADA Y TUNING</t>
        </is>
      </c>
      <c r="B1" s="29" t="n"/>
      <c r="C1" s="29" t="n"/>
      <c r="D1" s="29" t="n"/>
      <c r="E1" s="29" t="n"/>
      <c r="F1" s="29" t="n"/>
      <c r="G1" s="30" t="n"/>
    </row>
    <row r="3">
      <c r="A3" s="31" t="inlineStr">
        <is>
          <t>HIPERPARÁMETROS DEL MODELO</t>
        </is>
      </c>
      <c r="B3" s="29" t="n"/>
      <c r="C3" s="30" t="n"/>
    </row>
    <row r="4">
      <c r="A4" s="9" t="inlineStr">
        <is>
          <t>Parámetro</t>
        </is>
      </c>
      <c r="B4" s="9" t="inlineStr">
        <is>
          <t>Valor</t>
        </is>
      </c>
      <c r="C4" s="9" t="inlineStr">
        <is>
          <t>Descripción</t>
        </is>
      </c>
    </row>
    <row r="5">
      <c r="A5" s="3" t="inlineStr">
        <is>
          <t>Learning Rate</t>
        </is>
      </c>
      <c r="B5" s="10" t="n">
        <v>0.001</v>
      </c>
      <c r="C5" s="3" t="inlineStr">
        <is>
          <t>Tasa de aprendizaje del modelo</t>
        </is>
      </c>
    </row>
    <row r="6">
      <c r="A6" s="17" t="inlineStr">
        <is>
          <t>Batch Size</t>
        </is>
      </c>
      <c r="B6" s="23" t="n">
        <v>32</v>
      </c>
      <c r="C6" s="17" t="inlineStr">
        <is>
          <t>Tamaño del lote de entrenamiento</t>
        </is>
      </c>
    </row>
    <row r="7">
      <c r="A7" s="3" t="inlineStr">
        <is>
          <t>Epochs</t>
        </is>
      </c>
      <c r="B7" s="25" t="n">
        <v>100</v>
      </c>
      <c r="C7" s="3" t="inlineStr">
        <is>
          <t>Número de épocas de entrenamiento</t>
        </is>
      </c>
    </row>
    <row r="8">
      <c r="A8" s="17" t="inlineStr">
        <is>
          <t>Dropout Rate</t>
        </is>
      </c>
      <c r="B8" s="24" t="n">
        <v>0.2</v>
      </c>
      <c r="C8" s="17" t="inlineStr">
        <is>
          <t>Tasa de dropout para regularización</t>
        </is>
      </c>
    </row>
    <row r="9">
      <c r="A9" s="3" t="inlineStr">
        <is>
          <t>Hidden Layers</t>
        </is>
      </c>
      <c r="B9" s="25" t="n">
        <v>3</v>
      </c>
      <c r="C9" s="3" t="inlineStr">
        <is>
          <t>Número de capas ocultas</t>
        </is>
      </c>
    </row>
    <row r="10">
      <c r="A10" s="17" t="inlineStr">
        <is>
          <t>Neurons per Layer</t>
        </is>
      </c>
      <c r="B10" s="23" t="n">
        <v>128</v>
      </c>
      <c r="C10" s="17" t="inlineStr">
        <is>
          <t>Neuronas por capa</t>
        </is>
      </c>
    </row>
    <row r="11">
      <c r="A11" s="3" t="inlineStr">
        <is>
          <t>Optimizer</t>
        </is>
      </c>
      <c r="B11" s="3" t="inlineStr">
        <is>
          <t>Adam</t>
        </is>
      </c>
      <c r="C11" s="3" t="inlineStr">
        <is>
          <t>Algoritmo de optimización</t>
        </is>
      </c>
    </row>
    <row r="12">
      <c r="A12" s="17" t="inlineStr">
        <is>
          <t>Loss Function</t>
        </is>
      </c>
      <c r="B12" s="17" t="inlineStr">
        <is>
          <t>Cross-Entropy</t>
        </is>
      </c>
      <c r="C12" s="17" t="inlineStr">
        <is>
          <t>Función de pérdida</t>
        </is>
      </c>
    </row>
    <row r="14">
      <c r="A14" s="31" t="inlineStr">
        <is>
          <t>RESULTADOS DE GRID SEARCH</t>
        </is>
      </c>
      <c r="B14" s="29" t="n"/>
      <c r="C14" s="29" t="n"/>
      <c r="D14" s="29" t="n"/>
      <c r="E14" s="29" t="n"/>
      <c r="F14" s="29" t="n"/>
      <c r="G14" s="30" t="n"/>
    </row>
    <row r="15">
      <c r="A15" s="15" t="inlineStr">
        <is>
          <t>Learning Rate</t>
        </is>
      </c>
      <c r="B15" s="15" t="inlineStr">
        <is>
          <t>Batch Size</t>
        </is>
      </c>
      <c r="C15" s="15" t="inlineStr">
        <is>
          <t>Epochs</t>
        </is>
      </c>
      <c r="D15" s="15" t="inlineStr">
        <is>
          <t>Accuracy</t>
        </is>
      </c>
      <c r="E15" s="15" t="inlineStr">
        <is>
          <t>F1-Score</t>
        </is>
      </c>
      <c r="F15" s="15" t="inlineStr">
        <is>
          <t>Tiempo (min)</t>
        </is>
      </c>
      <c r="G15" s="15" t="inlineStr">
        <is>
          <t>Ranking</t>
        </is>
      </c>
    </row>
    <row r="16">
      <c r="A16" s="23" t="n">
        <v>0.001</v>
      </c>
      <c r="B16" s="23" t="n">
        <v>32</v>
      </c>
      <c r="C16" s="23" t="n">
        <v>100</v>
      </c>
      <c r="D16" s="24" t="n">
        <v>0.9399999999999999</v>
      </c>
      <c r="E16" s="24" t="n">
        <v>0.9</v>
      </c>
      <c r="F16" s="23" t="n">
        <v>45</v>
      </c>
      <c r="G16" s="23" t="n">
        <v>1</v>
      </c>
    </row>
    <row r="17">
      <c r="A17" s="25" t="n">
        <v>0.001</v>
      </c>
      <c r="B17" s="25" t="n">
        <v>64</v>
      </c>
      <c r="C17" s="25" t="n">
        <v>100</v>
      </c>
      <c r="D17" s="10" t="n">
        <v>0.93</v>
      </c>
      <c r="E17" s="10" t="n">
        <v>0.89</v>
      </c>
      <c r="F17" s="25" t="n">
        <v>38</v>
      </c>
      <c r="G17" s="25" t="n">
        <v>2</v>
      </c>
    </row>
    <row r="18">
      <c r="A18" s="23" t="n">
        <v>0.0005</v>
      </c>
      <c r="B18" s="23" t="n">
        <v>32</v>
      </c>
      <c r="C18" s="23" t="n">
        <v>100</v>
      </c>
      <c r="D18" s="24" t="n">
        <v>0.92</v>
      </c>
      <c r="E18" s="24" t="n">
        <v>0.88</v>
      </c>
      <c r="F18" s="23" t="n">
        <v>52</v>
      </c>
      <c r="G18" s="23" t="n">
        <v>3</v>
      </c>
    </row>
    <row r="19">
      <c r="A19" s="25" t="n">
        <v>0.001</v>
      </c>
      <c r="B19" s="25" t="n">
        <v>32</v>
      </c>
      <c r="C19" s="25" t="n">
        <v>150</v>
      </c>
      <c r="D19" s="10" t="n">
        <v>0.95</v>
      </c>
      <c r="E19" s="10" t="n">
        <v>0.91</v>
      </c>
      <c r="F19" s="25" t="n">
        <v>68</v>
      </c>
      <c r="G19" s="25" t="n">
        <v>1</v>
      </c>
    </row>
    <row r="20">
      <c r="A20" s="23" t="n">
        <v>0.002</v>
      </c>
      <c r="B20" s="23" t="n">
        <v>32</v>
      </c>
      <c r="C20" s="23" t="n">
        <v>100</v>
      </c>
      <c r="D20" s="24" t="n">
        <v>0.91</v>
      </c>
      <c r="E20" s="24" t="n">
        <v>0.87</v>
      </c>
      <c r="F20" s="23" t="n">
        <v>42</v>
      </c>
      <c r="G20" s="23" t="n">
        <v>4</v>
      </c>
    </row>
    <row r="22">
      <c r="A22" s="19" t="inlineStr">
        <is>
          <t>MEJOR COMBINACIÓN:</t>
        </is>
      </c>
      <c r="B22" s="43" t="inlineStr">
        <is>
          <t>Learning Rate: 0.001, Batch: 32, Epochs: 150</t>
        </is>
      </c>
    </row>
  </sheetData>
  <mergeCells count="3">
    <mergeCell ref="A14:G14"/>
    <mergeCell ref="A3:C3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2" t="inlineStr">
        <is>
          <t>MATRIZ DE DECISIÓN: SELECCIÓN DE TIPO DE CONTENIDO</t>
        </is>
      </c>
      <c r="B1" s="29" t="n"/>
      <c r="C1" s="29" t="n"/>
      <c r="D1" s="29" t="n"/>
      <c r="E1" s="29" t="n"/>
      <c r="F1" s="29" t="n"/>
      <c r="G1" s="30" t="n"/>
    </row>
    <row r="2">
      <c r="A2" s="15" t="inlineStr">
        <is>
          <t>Criterio</t>
        </is>
      </c>
      <c r="B2" s="15" t="inlineStr">
        <is>
          <t>Blog</t>
        </is>
      </c>
      <c r="C2" s="15" t="inlineStr">
        <is>
          <t>Social Media</t>
        </is>
      </c>
      <c r="D2" s="15" t="inlineStr">
        <is>
          <t>Email</t>
        </is>
      </c>
      <c r="E2" s="15" t="inlineStr">
        <is>
          <t>Landing Page</t>
        </is>
      </c>
      <c r="F2" s="15" t="inlineStr">
        <is>
          <t>Copywriting</t>
        </is>
      </c>
      <c r="G2" s="15" t="inlineStr">
        <is>
          <t>Peso</t>
        </is>
      </c>
    </row>
    <row r="3">
      <c r="A3" s="3" t="inlineStr">
        <is>
          <t>Longitud Requerida</t>
        </is>
      </c>
      <c r="B3" s="25" t="n">
        <v>5</v>
      </c>
      <c r="C3" s="25" t="n">
        <v>1</v>
      </c>
      <c r="D3" s="25" t="n">
        <v>3</v>
      </c>
      <c r="E3" s="25" t="n">
        <v>4</v>
      </c>
      <c r="F3" s="25" t="n">
        <v>3</v>
      </c>
      <c r="G3" s="10" t="n">
        <v>0.15</v>
      </c>
    </row>
    <row r="4">
      <c r="A4" s="17" t="inlineStr">
        <is>
          <t>Complejidad Técnica</t>
        </is>
      </c>
      <c r="B4" s="23" t="n">
        <v>4</v>
      </c>
      <c r="C4" s="23" t="n">
        <v>2</v>
      </c>
      <c r="D4" s="23" t="n">
        <v>2</v>
      </c>
      <c r="E4" s="23" t="n">
        <v>3</v>
      </c>
      <c r="F4" s="23" t="n">
        <v>3</v>
      </c>
      <c r="G4" s="24" t="n">
        <v>0.2</v>
      </c>
    </row>
    <row r="5">
      <c r="A5" s="3" t="inlineStr">
        <is>
          <t>Urgencia</t>
        </is>
      </c>
      <c r="B5" s="25" t="n">
        <v>2</v>
      </c>
      <c r="C5" s="25" t="n">
        <v>5</v>
      </c>
      <c r="D5" s="25" t="n">
        <v>4</v>
      </c>
      <c r="E5" s="25" t="n">
        <v>3</v>
      </c>
      <c r="F5" s="25" t="n">
        <v>3</v>
      </c>
      <c r="G5" s="10" t="n">
        <v>0.1</v>
      </c>
    </row>
    <row r="6">
      <c r="A6" s="17" t="inlineStr">
        <is>
          <t>Engagement Esperado</t>
        </is>
      </c>
      <c r="B6" s="23" t="n">
        <v>3</v>
      </c>
      <c r="C6" s="23" t="n">
        <v>5</v>
      </c>
      <c r="D6" s="23" t="n">
        <v>3</v>
      </c>
      <c r="E6" s="23" t="n">
        <v>4</v>
      </c>
      <c r="F6" s="23" t="n">
        <v>4</v>
      </c>
      <c r="G6" s="24" t="n">
        <v>0.25</v>
      </c>
    </row>
    <row r="7">
      <c r="A7" s="3" t="inlineStr">
        <is>
          <t>Costo de Producción</t>
        </is>
      </c>
      <c r="B7" s="25" t="n">
        <v>3</v>
      </c>
      <c r="C7" s="25" t="n">
        <v>2</v>
      </c>
      <c r="D7" s="25" t="n">
        <v>2</v>
      </c>
      <c r="E7" s="25" t="n">
        <v>4</v>
      </c>
      <c r="F7" s="25" t="n">
        <v>3</v>
      </c>
      <c r="G7" s="10" t="n">
        <v>0.15</v>
      </c>
    </row>
    <row r="8">
      <c r="A8" s="17" t="inlineStr">
        <is>
          <t>ROI Esperado</t>
        </is>
      </c>
      <c r="B8" s="23" t="n">
        <v>4</v>
      </c>
      <c r="C8" s="23" t="n">
        <v>3</v>
      </c>
      <c r="D8" s="23" t="n">
        <v>4</v>
      </c>
      <c r="E8" s="23" t="n">
        <v>5</v>
      </c>
      <c r="F8" s="23" t="n">
        <v>4</v>
      </c>
      <c r="G8" s="24" t="n">
        <v>0.15</v>
      </c>
    </row>
    <row r="10">
      <c r="A10" s="31" t="inlineStr">
        <is>
          <t>PUNTUACIÓN PONDERADA</t>
        </is>
      </c>
      <c r="B10" s="20">
        <f>SUMA(G3*B3+G4*B4+G5*B5+G6*B6+G7*B7+G8*B8)</f>
        <v/>
      </c>
      <c r="C10" s="20">
        <f>SUMA(G3*C3+G4*C4+G5*C5+G6*C6+G7*C7+G8*C8)</f>
        <v/>
      </c>
      <c r="D10" s="20">
        <f>SUMA(G3*D3+G4*D4+G5*D5+G6*D6+G7*D7+G8*D8)</f>
        <v/>
      </c>
      <c r="E10" s="20">
        <f>SUMA(G3*E3+G4*E4+G5*E5+G6*E6+G7*E7+G8*E8)</f>
        <v/>
      </c>
      <c r="F10" s="20">
        <f>SUMA(G3*F3+G4*F4+G5*F5+G6*F6+G7*F7+G8*F8)</f>
        <v/>
      </c>
    </row>
    <row r="12">
      <c r="A12" s="9" t="inlineStr">
        <is>
          <t>TIPO RECOMENDADO:</t>
        </is>
      </c>
      <c r="B12" s="32">
        <f>INDICE(B1:F1,COINCIDIR(MAX(B10:F10),B10:F10,0))</f>
        <v/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2" t="inlineStr">
        <is>
          <t>ANÁLISIS DE COSTOS Y ROI</t>
        </is>
      </c>
      <c r="B1" s="29" t="n"/>
      <c r="C1" s="29" t="n"/>
      <c r="D1" s="29" t="n"/>
      <c r="E1" s="29" t="n"/>
      <c r="F1" s="30" t="n"/>
    </row>
    <row r="2">
      <c r="A2" s="15" t="inlineStr">
        <is>
          <t>Tipo Contenido</t>
        </is>
      </c>
      <c r="B2" s="15" t="inlineStr">
        <is>
          <t>Costo Producción</t>
        </is>
      </c>
      <c r="C2" s="15" t="inlineStr">
        <is>
          <t>Costo Revisión</t>
        </is>
      </c>
      <c r="D2" s="15" t="inlineStr">
        <is>
          <t>Costo Total</t>
        </is>
      </c>
      <c r="E2" s="15" t="inlineStr">
        <is>
          <t>Valor Generado</t>
        </is>
      </c>
      <c r="F2" s="15" t="inlineStr">
        <is>
          <t>ROI %</t>
        </is>
      </c>
    </row>
    <row r="3">
      <c r="A3" s="3" t="inlineStr">
        <is>
          <t>Blog Articles</t>
        </is>
      </c>
      <c r="B3" s="33" t="n">
        <v>150</v>
      </c>
      <c r="C3" s="33" t="n">
        <v>50</v>
      </c>
      <c r="D3" s="33">
        <f>B3+C3</f>
        <v/>
      </c>
      <c r="E3" s="33" t="n">
        <v>450</v>
      </c>
      <c r="F3" s="16">
        <f>((E3-D3)/D3)*100</f>
        <v/>
      </c>
    </row>
    <row r="4">
      <c r="A4" s="17" t="inlineStr">
        <is>
          <t>Social Media Posts</t>
        </is>
      </c>
      <c r="B4" s="34" t="n">
        <v>25</v>
      </c>
      <c r="C4" s="34" t="n">
        <v>10</v>
      </c>
      <c r="D4" s="34">
        <f>B4+C4</f>
        <v/>
      </c>
      <c r="E4" s="34" t="n">
        <v>80</v>
      </c>
      <c r="F4" s="18">
        <f>((E4-D4)/D4)*100</f>
        <v/>
      </c>
    </row>
    <row r="5">
      <c r="A5" s="3" t="inlineStr">
        <is>
          <t>Email Marketing</t>
        </is>
      </c>
      <c r="B5" s="33" t="n">
        <v>75</v>
      </c>
      <c r="C5" s="33" t="n">
        <v>25</v>
      </c>
      <c r="D5" s="33">
        <f>B5+C5</f>
        <v/>
      </c>
      <c r="E5" s="33" t="n">
        <v>200</v>
      </c>
      <c r="F5" s="16">
        <f>((E5-D5)/D5)*100</f>
        <v/>
      </c>
    </row>
    <row r="6">
      <c r="A6" s="17" t="inlineStr">
        <is>
          <t>Landing Pages</t>
        </is>
      </c>
      <c r="B6" s="34" t="n">
        <v>200</v>
      </c>
      <c r="C6" s="34" t="n">
        <v>75</v>
      </c>
      <c r="D6" s="34">
        <f>B6+C6</f>
        <v/>
      </c>
      <c r="E6" s="34" t="n">
        <v>600</v>
      </c>
      <c r="F6" s="18">
        <f>((E6-D6)/D6)*100</f>
        <v/>
      </c>
    </row>
    <row r="7">
      <c r="A7" s="3" t="inlineStr">
        <is>
          <t>Copywriting</t>
        </is>
      </c>
      <c r="B7" s="33" t="n">
        <v>120</v>
      </c>
      <c r="C7" s="33" t="n">
        <v>40</v>
      </c>
      <c r="D7" s="33">
        <f>B7+C7</f>
        <v/>
      </c>
      <c r="E7" s="33" t="n">
        <v>350</v>
      </c>
      <c r="F7" s="16">
        <f>((E7-D7)/D7)*100</f>
        <v/>
      </c>
    </row>
    <row r="8">
      <c r="A8" s="17" t="inlineStr">
        <is>
          <t>Product Descriptions</t>
        </is>
      </c>
      <c r="B8" s="34" t="n">
        <v>60</v>
      </c>
      <c r="C8" s="34" t="n">
        <v>20</v>
      </c>
      <c r="D8" s="34">
        <f>B8+C8</f>
        <v/>
      </c>
      <c r="E8" s="34" t="n">
        <v>150</v>
      </c>
      <c r="F8" s="18">
        <f>((E8-D8)/D8)*100</f>
        <v/>
      </c>
    </row>
    <row r="9">
      <c r="A9" s="3" t="inlineStr">
        <is>
          <t>SEO Content</t>
        </is>
      </c>
      <c r="B9" s="33" t="n">
        <v>180</v>
      </c>
      <c r="C9" s="33" t="n">
        <v>60</v>
      </c>
      <c r="D9" s="33">
        <f>B9+C9</f>
        <v/>
      </c>
      <c r="E9" s="33" t="n">
        <v>500</v>
      </c>
      <c r="F9" s="16">
        <f>((E9-D9)/D9)*100</f>
        <v/>
      </c>
    </row>
    <row r="10">
      <c r="A10" s="17" t="inlineStr">
        <is>
          <t>Technical Documentation</t>
        </is>
      </c>
      <c r="B10" s="34" t="n">
        <v>250</v>
      </c>
      <c r="C10" s="34" t="n">
        <v>100</v>
      </c>
      <c r="D10" s="34">
        <f>B10+C10</f>
        <v/>
      </c>
      <c r="E10" s="34" t="n">
        <v>750</v>
      </c>
      <c r="F10" s="18">
        <f>((E10-D10)/D10)*100</f>
        <v/>
      </c>
    </row>
    <row r="12">
      <c r="A12" s="19" t="inlineStr">
        <is>
          <t>TOTALES</t>
        </is>
      </c>
      <c r="D12" s="35">
        <f>SUMA(D3:D10)</f>
        <v/>
      </c>
      <c r="E12" s="35">
        <f>SUMA(E3:E10)</f>
        <v/>
      </c>
      <c r="F12" s="21">
        <f>((E12-D12)/D12)*100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22" t="inlineStr">
        <is>
          <t>CALENDARIO DE PRODUCCIÓN DE CONTENIDO</t>
        </is>
      </c>
      <c r="B1" s="29" t="n"/>
      <c r="C1" s="29" t="n"/>
      <c r="D1" s="29" t="n"/>
      <c r="E1" s="29" t="n"/>
      <c r="F1" s="29" t="n"/>
      <c r="G1" s="29" t="n"/>
      <c r="H1" s="30" t="n"/>
    </row>
    <row r="2">
      <c r="A2" s="15" t="inlineStr">
        <is>
          <t>Fecha</t>
        </is>
      </c>
      <c r="B2" s="15" t="inlineStr">
        <is>
          <t>Día</t>
        </is>
      </c>
      <c r="C2" s="15" t="inlineStr">
        <is>
          <t>Tipo</t>
        </is>
      </c>
      <c r="D2" s="15" t="inlineStr">
        <is>
          <t>Tema</t>
        </is>
      </c>
      <c r="E2" s="15" t="inlineStr">
        <is>
          <t>Plataforma</t>
        </is>
      </c>
      <c r="F2" s="15" t="inlineStr">
        <is>
          <t>Estado</t>
        </is>
      </c>
      <c r="G2" s="15" t="inlineStr">
        <is>
          <t>Responsable</t>
        </is>
      </c>
      <c r="H2" s="15" t="inlineStr">
        <is>
          <t>Notas</t>
        </is>
      </c>
    </row>
    <row r="3">
      <c r="A3" s="44" t="n">
        <v>45790</v>
      </c>
      <c r="B3" s="3" t="inlineStr">
        <is>
          <t>Lunes</t>
        </is>
      </c>
      <c r="C3" s="3" t="inlineStr">
        <is>
          <t>Blog Article</t>
        </is>
      </c>
      <c r="D3" s="3" t="inlineStr">
        <is>
          <t>Mejores Prácticas IA</t>
        </is>
      </c>
      <c r="E3" s="3" t="inlineStr">
        <is>
          <t>Website</t>
        </is>
      </c>
      <c r="F3" s="3" t="inlineStr">
        <is>
          <t>Planificado</t>
        </is>
      </c>
      <c r="G3" s="3" t="inlineStr">
        <is>
          <t>Equipo A</t>
        </is>
      </c>
    </row>
    <row r="4">
      <c r="A4" s="45" t="n">
        <v>45791</v>
      </c>
      <c r="B4" s="17" t="inlineStr">
        <is>
          <t>Martes</t>
        </is>
      </c>
      <c r="C4" s="17" t="inlineStr">
        <is>
          <t>Social Media</t>
        </is>
      </c>
      <c r="D4" s="17" t="inlineStr">
        <is>
          <t>Product Launch</t>
        </is>
      </c>
      <c r="E4" s="17" t="inlineStr">
        <is>
          <t>Instagram</t>
        </is>
      </c>
      <c r="F4" s="17" t="inlineStr">
        <is>
          <t>En Proceso</t>
        </is>
      </c>
      <c r="G4" s="17" t="inlineStr">
        <is>
          <t>Equipo B</t>
        </is>
      </c>
      <c r="H4" s="38" t="inlineStr"/>
    </row>
    <row r="5">
      <c r="A5" s="44" t="n">
        <v>45792</v>
      </c>
      <c r="B5" s="3" t="inlineStr">
        <is>
          <t>Miércoles</t>
        </is>
      </c>
      <c r="C5" s="3" t="inlineStr">
        <is>
          <t>Email Marketing</t>
        </is>
      </c>
      <c r="D5" s="3" t="inlineStr">
        <is>
          <t>Newsletter Semanal</t>
        </is>
      </c>
      <c r="E5" s="3" t="inlineStr">
        <is>
          <t>Email</t>
        </is>
      </c>
      <c r="F5" s="3" t="inlineStr">
        <is>
          <t>Completado</t>
        </is>
      </c>
      <c r="G5" s="3" t="inlineStr">
        <is>
          <t>Equipo A</t>
        </is>
      </c>
      <c r="H5" s="3" t="inlineStr">
        <is>
          <t>Enviado</t>
        </is>
      </c>
    </row>
    <row r="6">
      <c r="A6" s="45" t="n">
        <v>45793</v>
      </c>
      <c r="B6" s="17" t="inlineStr">
        <is>
          <t>Jueves</t>
        </is>
      </c>
      <c r="C6" s="17" t="inlineStr">
        <is>
          <t>Landing Page</t>
        </is>
      </c>
      <c r="D6" s="17" t="inlineStr">
        <is>
          <t>Nuevo Servicio</t>
        </is>
      </c>
      <c r="E6" s="17" t="inlineStr">
        <is>
          <t>Website</t>
        </is>
      </c>
      <c r="F6" s="17" t="inlineStr">
        <is>
          <t>Planificado</t>
        </is>
      </c>
      <c r="G6" s="17" t="inlineStr">
        <is>
          <t>Equipo C</t>
        </is>
      </c>
      <c r="H6" s="38" t="inlineStr"/>
    </row>
    <row r="7">
      <c r="A7" s="44" t="n">
        <v>45794</v>
      </c>
      <c r="B7" s="3" t="inlineStr">
        <is>
          <t>Viernes</t>
        </is>
      </c>
      <c r="C7" s="3" t="inlineStr">
        <is>
          <t>Social Media</t>
        </is>
      </c>
      <c r="D7" s="3" t="inlineStr">
        <is>
          <t>Testimonial</t>
        </is>
      </c>
      <c r="E7" s="3" t="inlineStr">
        <is>
          <t>LinkedIn</t>
        </is>
      </c>
      <c r="F7" s="3" t="inlineStr">
        <is>
          <t>Completado</t>
        </is>
      </c>
      <c r="G7" s="3" t="inlineStr">
        <is>
          <t>Equipo B</t>
        </is>
      </c>
      <c r="H7" s="3" t="inlineStr">
        <is>
          <t>Publicado</t>
        </is>
      </c>
    </row>
    <row r="8">
      <c r="A8" s="45" t="n">
        <v>45797</v>
      </c>
      <c r="B8" s="17" t="inlineStr">
        <is>
          <t>Lunes</t>
        </is>
      </c>
      <c r="C8" s="17" t="inlineStr">
        <is>
          <t>Blog Article</t>
        </is>
      </c>
      <c r="D8" s="17" t="inlineStr">
        <is>
          <t>Tendencias Marketing</t>
        </is>
      </c>
      <c r="E8" s="17" t="inlineStr">
        <is>
          <t>Website</t>
        </is>
      </c>
      <c r="F8" s="17" t="inlineStr">
        <is>
          <t>Planificado</t>
        </is>
      </c>
      <c r="G8" s="17" t="inlineStr">
        <is>
          <t>Equipo A</t>
        </is>
      </c>
      <c r="H8" s="38" t="inlineStr"/>
    </row>
    <row r="9">
      <c r="A9" s="44" t="n">
        <v>45798</v>
      </c>
      <c r="B9" s="3" t="inlineStr">
        <is>
          <t>Martes</t>
        </is>
      </c>
      <c r="C9" s="3" t="inlineStr">
        <is>
          <t>Copywriting</t>
        </is>
      </c>
      <c r="D9" s="3" t="inlineStr">
        <is>
          <t>Campaign Copy</t>
        </is>
      </c>
      <c r="E9" s="3" t="inlineStr">
        <is>
          <t>Múltiples</t>
        </is>
      </c>
      <c r="F9" s="3" t="inlineStr">
        <is>
          <t>En Proceso</t>
        </is>
      </c>
      <c r="G9" s="3" t="inlineStr">
        <is>
          <t>Equipo C</t>
        </is>
      </c>
    </row>
    <row r="10">
      <c r="A10" s="45" t="n">
        <v>45799</v>
      </c>
      <c r="B10" s="17" t="inlineStr">
        <is>
          <t>Miércoles</t>
        </is>
      </c>
      <c r="C10" s="17" t="inlineStr">
        <is>
          <t>SEO Content</t>
        </is>
      </c>
      <c r="D10" s="17" t="inlineStr">
        <is>
          <t>Guía Completa</t>
        </is>
      </c>
      <c r="E10" s="17" t="inlineStr">
        <is>
          <t>Website</t>
        </is>
      </c>
      <c r="F10" s="17" t="inlineStr">
        <is>
          <t>Planificado</t>
        </is>
      </c>
      <c r="G10" s="17" t="inlineStr">
        <is>
          <t>Equipo A</t>
        </is>
      </c>
      <c r="H10" s="38" t="inlineStr"/>
    </row>
    <row r="11">
      <c r="A11" s="44" t="n">
        <v>45800</v>
      </c>
      <c r="B11" s="3" t="inlineStr">
        <is>
          <t>Jueves</t>
        </is>
      </c>
      <c r="C11" s="3" t="inlineStr">
        <is>
          <t>Social Media</t>
        </is>
      </c>
      <c r="D11" s="3" t="inlineStr">
        <is>
          <t>Behind Scenes</t>
        </is>
      </c>
      <c r="E11" s="3" t="inlineStr">
        <is>
          <t>Instagram</t>
        </is>
      </c>
      <c r="F11" s="3" t="inlineStr">
        <is>
          <t>Planificado</t>
        </is>
      </c>
      <c r="G11" s="3" t="inlineStr">
        <is>
          <t>Equipo B</t>
        </is>
      </c>
    </row>
    <row r="12">
      <c r="A12" s="45" t="n">
        <v>45801</v>
      </c>
      <c r="B12" s="17" t="inlineStr">
        <is>
          <t>Viernes</t>
        </is>
      </c>
      <c r="C12" s="17" t="inlineStr">
        <is>
          <t>Email Marketing</t>
        </is>
      </c>
      <c r="D12" s="17" t="inlineStr">
        <is>
          <t>Promoción</t>
        </is>
      </c>
      <c r="E12" s="17" t="inlineStr">
        <is>
          <t>Email</t>
        </is>
      </c>
      <c r="F12" s="17" t="inlineStr">
        <is>
          <t>Planificado</t>
        </is>
      </c>
      <c r="G12" s="17" t="inlineStr">
        <is>
          <t>Equipo A</t>
        </is>
      </c>
      <c r="H12" s="38" t="inlineStr"/>
    </row>
    <row r="15">
      <c r="A15" s="31" t="inlineStr">
        <is>
          <t>RESUMEN POR ESTADO</t>
        </is>
      </c>
    </row>
    <row r="16">
      <c r="A16" s="9" t="inlineStr">
        <is>
          <t>Estado</t>
        </is>
      </c>
      <c r="B16" s="9" t="inlineStr">
        <is>
          <t>Cantidad</t>
        </is>
      </c>
    </row>
    <row r="17">
      <c r="A17" s="3" t="inlineStr">
        <is>
          <t>Planificado</t>
        </is>
      </c>
      <c r="B17" s="9">
        <f>CONTAR.SI(F3:F12,"Planificado")</f>
        <v/>
      </c>
    </row>
    <row r="18">
      <c r="A18" s="3" t="inlineStr">
        <is>
          <t>En Proceso</t>
        </is>
      </c>
      <c r="B18" s="9">
        <f>CONTAR.SI(F3:F12,"En Proceso")</f>
        <v/>
      </c>
    </row>
    <row r="19">
      <c r="A19" s="3" t="inlineStr">
        <is>
          <t>Completado</t>
        </is>
      </c>
      <c r="B19" s="9">
        <f>CONTAR.SI(F3:F12,"Completado")</f>
        <v/>
      </c>
    </row>
  </sheetData>
  <mergeCells count="1">
    <mergeCell ref="A1:H1"/>
  </mergeCells>
  <conditionalFormatting sqref="F3:F12">
    <cfRule type="cellIs" priority="1" operator="equal" dxfId="0">
      <formula>"Completado"</formula>
    </cfRule>
    <cfRule type="cellIs" priority="2" operator="equal" dxfId="1">
      <formula>"En Proceso"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5" customWidth="1" min="5" max="5"/>
    <col width="12" customWidth="1" min="6" max="6"/>
    <col width="18" customWidth="1" min="7" max="7"/>
  </cols>
  <sheetData>
    <row r="1">
      <c r="A1" s="22" t="inlineStr">
        <is>
          <t>MATRIZ DE VALIDACIÓN Y TESTING</t>
        </is>
      </c>
      <c r="B1" s="29" t="n"/>
      <c r="C1" s="29" t="n"/>
      <c r="D1" s="29" t="n"/>
      <c r="E1" s="29" t="n"/>
      <c r="F1" s="29" t="n"/>
      <c r="G1" s="30" t="n"/>
    </row>
    <row r="2">
      <c r="A2" s="15" t="inlineStr">
        <is>
          <t>Criterio de Validación</t>
        </is>
      </c>
      <c r="B2" s="15" t="inlineStr">
        <is>
          <t>Tipo Test</t>
        </is>
      </c>
      <c r="C2" s="15" t="inlineStr">
        <is>
          <t>Frecuencia</t>
        </is>
      </c>
      <c r="D2" s="15" t="inlineStr">
        <is>
          <t>Resultado Actual</t>
        </is>
      </c>
      <c r="E2" s="15" t="inlineStr">
        <is>
          <t>Objetivo</t>
        </is>
      </c>
      <c r="F2" s="15" t="inlineStr">
        <is>
          <t>Estado</t>
        </is>
      </c>
      <c r="G2" s="15" t="inlineStr">
        <is>
          <t>Última Ejecución</t>
        </is>
      </c>
    </row>
    <row r="3">
      <c r="A3" s="3" t="inlineStr">
        <is>
          <t>Completitud de Brief</t>
        </is>
      </c>
      <c r="B3" s="3" t="inlineStr">
        <is>
          <t>Automático</t>
        </is>
      </c>
      <c r="C3" s="3" t="inlineStr">
        <is>
          <t>Por solicitud</t>
        </is>
      </c>
      <c r="D3" s="10" t="n">
        <v>95</v>
      </c>
      <c r="E3" s="10" t="n">
        <v>90</v>
      </c>
      <c r="F3" s="3">
        <f>SI(D3&gt;=E3,"✓","⚠")</f>
        <v/>
      </c>
      <c r="G3" s="44" t="n">
        <v>45790</v>
      </c>
    </row>
    <row r="4">
      <c r="A4" s="17" t="inlineStr">
        <is>
          <t>Formato Correcto</t>
        </is>
      </c>
      <c r="B4" s="17" t="inlineStr">
        <is>
          <t>Automático</t>
        </is>
      </c>
      <c r="C4" s="17" t="inlineStr">
        <is>
          <t>Por solicitud</t>
        </is>
      </c>
      <c r="D4" s="24" t="n">
        <v>98</v>
      </c>
      <c r="E4" s="24" t="n">
        <v>95</v>
      </c>
      <c r="F4" s="17">
        <f>SI(D4&gt;=E4,"✓","⚠")</f>
        <v/>
      </c>
      <c r="G4" s="45" t="n">
        <v>45790</v>
      </c>
    </row>
    <row r="5">
      <c r="A5" s="3" t="inlineStr">
        <is>
          <t>Restricciones Cumplidas</t>
        </is>
      </c>
      <c r="B5" s="3" t="inlineStr">
        <is>
          <t>Automático</t>
        </is>
      </c>
      <c r="C5" s="3" t="inlineStr">
        <is>
          <t>Por solicitud</t>
        </is>
      </c>
      <c r="D5" s="10" t="n">
        <v>97</v>
      </c>
      <c r="E5" s="10" t="n">
        <v>95</v>
      </c>
      <c r="F5" s="3">
        <f>SI(D5&gt;=E5,"✓","⚠")</f>
        <v/>
      </c>
      <c r="G5" s="44" t="n">
        <v>45790</v>
      </c>
    </row>
    <row r="6">
      <c r="A6" s="17" t="inlineStr">
        <is>
          <t>Calidad de Contenido</t>
        </is>
      </c>
      <c r="B6" s="17" t="inlineStr">
        <is>
          <t>Manual</t>
        </is>
      </c>
      <c r="C6" s="17" t="inlineStr">
        <is>
          <t>Semanal</t>
        </is>
      </c>
      <c r="D6" s="24" t="n">
        <v>92</v>
      </c>
      <c r="E6" s="24" t="n">
        <v>90</v>
      </c>
      <c r="F6" s="17">
        <f>SI(D6&gt;=E6,"✓","⚠")</f>
        <v/>
      </c>
      <c r="G6" s="45" t="n">
        <v>45787</v>
      </c>
    </row>
    <row r="7">
      <c r="A7" s="3" t="inlineStr">
        <is>
          <t>Satisfacción Usuario</t>
        </is>
      </c>
      <c r="B7" s="3" t="inlineStr">
        <is>
          <t>Manual</t>
        </is>
      </c>
      <c r="C7" s="3" t="inlineStr">
        <is>
          <t>Mensual</t>
        </is>
      </c>
      <c r="D7" s="10" t="n">
        <v>87</v>
      </c>
      <c r="E7" s="10" t="n">
        <v>85</v>
      </c>
      <c r="F7" s="3">
        <f>SI(D7&gt;=E7,"✓","⚠")</f>
        <v/>
      </c>
      <c r="G7" s="44" t="n">
        <v>45778</v>
      </c>
    </row>
    <row r="8">
      <c r="A8" s="17" t="inlineStr">
        <is>
          <t>Tiempo de Respuesta</t>
        </is>
      </c>
      <c r="B8" s="17" t="inlineStr">
        <is>
          <t>Automático</t>
        </is>
      </c>
      <c r="C8" s="17" t="inlineStr">
        <is>
          <t>Diario</t>
        </is>
      </c>
      <c r="D8" s="24" t="n">
        <v>2.5</v>
      </c>
      <c r="E8" s="24" t="n">
        <v>3</v>
      </c>
      <c r="F8" s="17">
        <f>SI(D8&lt;=E8,"✓","⚠")</f>
        <v/>
      </c>
      <c r="G8" s="45" t="n">
        <v>45790</v>
      </c>
    </row>
    <row r="9">
      <c r="A9" s="3" t="inlineStr">
        <is>
          <t>Tasa de Error</t>
        </is>
      </c>
      <c r="B9" s="3" t="inlineStr">
        <is>
          <t>Automático</t>
        </is>
      </c>
      <c r="C9" s="3" t="inlineStr">
        <is>
          <t>Diario</t>
        </is>
      </c>
      <c r="D9" s="10" t="n">
        <v>2</v>
      </c>
      <c r="E9" s="10" t="n">
        <v>5</v>
      </c>
      <c r="F9" s="3">
        <f>SI(D9&lt;=E9,"✓","⚠")</f>
        <v/>
      </c>
      <c r="G9" s="44" t="n">
        <v>45790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0" customWidth="1" min="3" max="3"/>
    <col width="30" customWidth="1" min="4" max="4"/>
    <col width="15" customWidth="1" min="5" max="5"/>
    <col width="18" customWidth="1" min="6" max="6"/>
    <col width="15" customWidth="1" min="7" max="7"/>
  </cols>
  <sheetData>
    <row r="1">
      <c r="A1" s="22" t="inlineStr">
        <is>
          <t>TIPOS DE CONTENIDO SOPORTADOS - ANÁLISIS DETALLADO</t>
        </is>
      </c>
      <c r="B1" s="29" t="n"/>
      <c r="C1" s="29" t="n"/>
      <c r="D1" s="29" t="n"/>
      <c r="E1" s="29" t="n"/>
      <c r="F1" s="29" t="n"/>
      <c r="G1" s="30" t="n"/>
    </row>
    <row r="2">
      <c r="A2" s="15" t="inlineStr">
        <is>
          <t>Tipo</t>
        </is>
      </c>
      <c r="B2" s="15" t="inlineStr">
        <is>
          <t>Descripción</t>
        </is>
      </c>
      <c r="C2" s="15" t="inlineStr">
        <is>
          <t>Longitud</t>
        </is>
      </c>
      <c r="D2" s="15" t="inlineStr">
        <is>
          <t>Plataformas</t>
        </is>
      </c>
      <c r="E2" s="15" t="inlineStr">
        <is>
          <t>Complejidad</t>
        </is>
      </c>
      <c r="F2" s="15" t="inlineStr">
        <is>
          <t>Frecuencia Uso</t>
        </is>
      </c>
      <c r="G2" s="15" t="inlineStr">
        <is>
          <t>Tasa Éxito %</t>
        </is>
      </c>
    </row>
    <row r="3">
      <c r="A3" s="3" t="inlineStr">
        <is>
          <t>Blog Articles</t>
        </is>
      </c>
      <c r="B3" s="3" t="inlineStr">
        <is>
          <t>Artículos largos y detallados</t>
        </is>
      </c>
      <c r="C3" s="3" t="inlineStr">
        <is>
          <t>2000-5000 palabras</t>
        </is>
      </c>
      <c r="D3" s="3" t="inlineStr">
        <is>
          <t>Blogs, CMS</t>
        </is>
      </c>
      <c r="E3" s="3" t="inlineStr">
        <is>
          <t>Alta</t>
        </is>
      </c>
      <c r="F3" s="3" t="n">
        <v>45</v>
      </c>
      <c r="G3" s="27" t="n">
        <v>94</v>
      </c>
    </row>
    <row r="4">
      <c r="A4" s="17" t="inlineStr">
        <is>
          <t>Social Media Posts</t>
        </is>
      </c>
      <c r="B4" s="17" t="inlineStr">
        <is>
          <t>Contenido conciso y atractivo</t>
        </is>
      </c>
      <c r="C4" s="17" t="inlineStr">
        <is>
          <t>50-300 caracteres</t>
        </is>
      </c>
      <c r="D4" s="17" t="inlineStr">
        <is>
          <t>Instagram, Twitter, Facebook</t>
        </is>
      </c>
      <c r="E4" s="17" t="inlineStr">
        <is>
          <t>Media</t>
        </is>
      </c>
      <c r="F4" s="17" t="n">
        <v>78</v>
      </c>
      <c r="G4" s="28" t="n">
        <v>96</v>
      </c>
    </row>
    <row r="5">
      <c r="A5" s="3" t="inlineStr">
        <is>
          <t>Email Marketing</t>
        </is>
      </c>
      <c r="B5" s="3" t="inlineStr">
        <is>
          <t>Mensajes con CTA fuerte</t>
        </is>
      </c>
      <c r="C5" s="3" t="inlineStr">
        <is>
          <t>100-500 palabras</t>
        </is>
      </c>
      <c r="D5" s="3" t="inlineStr">
        <is>
          <t>Email clients</t>
        </is>
      </c>
      <c r="E5" s="3" t="inlineStr">
        <is>
          <t>Media</t>
        </is>
      </c>
      <c r="F5" s="3" t="n">
        <v>62</v>
      </c>
      <c r="G5" s="27" t="n">
        <v>92</v>
      </c>
    </row>
    <row r="6">
      <c r="A6" s="17" t="inlineStr">
        <is>
          <t>Landing Pages</t>
        </is>
      </c>
      <c r="B6" s="17" t="inlineStr">
        <is>
          <t>Copy persuasivo y conversión</t>
        </is>
      </c>
      <c r="C6" s="17" t="inlineStr">
        <is>
          <t>500-1500 palabras</t>
        </is>
      </c>
      <c r="D6" s="17" t="inlineStr">
        <is>
          <t>Websites</t>
        </is>
      </c>
      <c r="E6" s="17" t="inlineStr">
        <is>
          <t>Alta</t>
        </is>
      </c>
      <c r="F6" s="17" t="n">
        <v>34</v>
      </c>
      <c r="G6" s="28" t="n">
        <v>89</v>
      </c>
    </row>
    <row r="7">
      <c r="A7" s="3" t="inlineStr">
        <is>
          <t>Copywriting</t>
        </is>
      </c>
      <c r="B7" s="3" t="inlineStr">
        <is>
          <t>Lenguaje persuasivo</t>
        </is>
      </c>
      <c r="C7" s="3" t="inlineStr">
        <is>
          <t>Variable</t>
        </is>
      </c>
      <c r="D7" s="3" t="inlineStr">
        <is>
          <t>Múltiples</t>
        </is>
      </c>
      <c r="E7" s="3" t="inlineStr">
        <is>
          <t>Alta</t>
        </is>
      </c>
      <c r="F7" s="3" t="n">
        <v>56</v>
      </c>
      <c r="G7" s="27" t="n">
        <v>93</v>
      </c>
    </row>
    <row r="8">
      <c r="A8" s="17" t="inlineStr">
        <is>
          <t>Product Descriptions</t>
        </is>
      </c>
      <c r="B8" s="17" t="inlineStr">
        <is>
          <t>Descripciones detalladas</t>
        </is>
      </c>
      <c r="C8" s="17" t="inlineStr">
        <is>
          <t>200-800 palabras</t>
        </is>
      </c>
      <c r="D8" s="17" t="inlineStr">
        <is>
          <t>E-commerce</t>
        </is>
      </c>
      <c r="E8" s="17" t="inlineStr">
        <is>
          <t>Media</t>
        </is>
      </c>
      <c r="F8" s="17" t="n">
        <v>48</v>
      </c>
      <c r="G8" s="28" t="n">
        <v>91</v>
      </c>
    </row>
    <row r="9">
      <c r="A9" s="3" t="inlineStr">
        <is>
          <t>SEO Content</t>
        </is>
      </c>
      <c r="B9" s="3" t="inlineStr">
        <is>
          <t>Optimizado para búsqueda</t>
        </is>
      </c>
      <c r="C9" s="3" t="inlineStr">
        <is>
          <t>1500-3000 palabras</t>
        </is>
      </c>
      <c r="D9" s="3" t="inlineStr">
        <is>
          <t>Websites</t>
        </is>
      </c>
      <c r="E9" s="3" t="inlineStr">
        <is>
          <t>Alta</t>
        </is>
      </c>
      <c r="F9" s="3" t="n">
        <v>41</v>
      </c>
      <c r="G9" s="27" t="n">
        <v>95</v>
      </c>
    </row>
    <row r="10">
      <c r="A10" s="17" t="inlineStr">
        <is>
          <t>Creative Writing</t>
        </is>
      </c>
      <c r="B10" s="17" t="inlineStr">
        <is>
          <t>Contenido creativo</t>
        </is>
      </c>
      <c r="C10" s="17" t="inlineStr">
        <is>
          <t>Variable</t>
        </is>
      </c>
      <c r="D10" s="17" t="inlineStr">
        <is>
          <t>Múltiples</t>
        </is>
      </c>
      <c r="E10" s="17" t="inlineStr">
        <is>
          <t>Variable</t>
        </is>
      </c>
      <c r="F10" s="17" t="n">
        <v>29</v>
      </c>
      <c r="G10" s="28" t="n">
        <v>88</v>
      </c>
    </row>
    <row r="11">
      <c r="A11" s="3" t="inlineStr">
        <is>
          <t>Technical Documentation</t>
        </is>
      </c>
      <c r="B11" s="3" t="inlineStr">
        <is>
          <t>Documentación técnica</t>
        </is>
      </c>
      <c r="C11" s="3" t="inlineStr">
        <is>
          <t>Variable</t>
        </is>
      </c>
      <c r="D11" s="3" t="inlineStr">
        <is>
          <t>Docs, Wikis</t>
        </is>
      </c>
      <c r="E11" s="3" t="inlineStr">
        <is>
          <t>Alta</t>
        </is>
      </c>
      <c r="F11" s="3" t="n">
        <v>37</v>
      </c>
      <c r="G11" s="27" t="n">
        <v>97</v>
      </c>
    </row>
    <row r="12">
      <c r="A12" s="17" t="inlineStr">
        <is>
          <t>Content Strategy</t>
        </is>
      </c>
      <c r="B12" s="17" t="inlineStr">
        <is>
          <t>Estrategia de contenido</t>
        </is>
      </c>
      <c r="C12" s="17" t="inlineStr">
        <is>
          <t>Variable</t>
        </is>
      </c>
      <c r="D12" s="17" t="inlineStr">
        <is>
          <t>Múltiples</t>
        </is>
      </c>
      <c r="E12" s="17" t="inlineStr">
        <is>
          <t>Alta</t>
        </is>
      </c>
      <c r="F12" s="17" t="n">
        <v>25</v>
      </c>
      <c r="G12" s="28" t="n">
        <v>90</v>
      </c>
    </row>
    <row r="14">
      <c r="A14" s="19" t="inlineStr">
        <is>
          <t>TOTALES Y PROMEDIOS</t>
        </is>
      </c>
      <c r="F14" s="9">
        <f>SUMA(F3:F12)</f>
        <v/>
      </c>
      <c r="G14" s="21">
        <f>PROMEDIO(G3:G12)</f>
        <v/>
      </c>
    </row>
  </sheetData>
  <mergeCells count="2">
    <mergeCell ref="A1:E1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</cols>
  <sheetData>
    <row r="1">
      <c r="A1" s="1" t="inlineStr">
        <is>
          <t>REGLAS DE FORMATO DEL SISTEMA</t>
        </is>
      </c>
      <c r="B1" s="29" t="n"/>
      <c r="C1" s="29" t="n"/>
      <c r="D1" s="30" t="n"/>
    </row>
    <row r="2">
      <c r="A2" s="5" t="inlineStr">
        <is>
          <t>Categoría</t>
        </is>
      </c>
      <c r="B2" s="5" t="inlineStr">
        <is>
          <t>Regla</t>
        </is>
      </c>
      <c r="C2" s="5" t="inlineStr">
        <is>
          <t>Tipo</t>
        </is>
      </c>
      <c r="D2" s="5" t="inlineStr">
        <is>
          <t>Prioridad</t>
        </is>
      </c>
    </row>
    <row r="3">
      <c r="A3" s="3" t="inlineStr">
        <is>
          <t>Inicio</t>
        </is>
      </c>
      <c r="B3" s="3" t="inlineStr">
        <is>
          <t>Nunca iniciar con encabezado</t>
        </is>
      </c>
      <c r="C3" s="3" t="inlineStr">
        <is>
          <t>Restricción</t>
        </is>
      </c>
      <c r="D3" s="3" t="inlineStr">
        <is>
          <t>Alta</t>
        </is>
      </c>
    </row>
    <row r="4">
      <c r="A4" s="6" t="inlineStr">
        <is>
          <t>Inicio</t>
        </is>
      </c>
      <c r="B4" s="6" t="inlineStr">
        <is>
          <t>Proporcionar gancho o resumen inicial</t>
        </is>
      </c>
      <c r="C4" s="6" t="inlineStr">
        <is>
          <t>Requisito</t>
        </is>
      </c>
      <c r="D4" s="6" t="inlineStr">
        <is>
          <t>Alta</t>
        </is>
      </c>
    </row>
    <row r="5">
      <c r="A5" s="3" t="inlineStr">
        <is>
          <t>Encabezados</t>
        </is>
      </c>
      <c r="B5" s="3" t="inlineStr">
        <is>
          <t>Usar H2 para secciones principales</t>
        </is>
      </c>
      <c r="C5" s="3" t="inlineStr">
        <is>
          <t>Formato</t>
        </is>
      </c>
      <c r="D5" s="3" t="inlineStr">
        <is>
          <t>Alta</t>
        </is>
      </c>
    </row>
    <row r="6">
      <c r="A6" s="6" t="inlineStr">
        <is>
          <t>Encabezados</t>
        </is>
      </c>
      <c r="B6" s="6" t="inlineStr">
        <is>
          <t>Usar negrita para subsections</t>
        </is>
      </c>
      <c r="C6" s="6" t="inlineStr">
        <is>
          <t>Formato</t>
        </is>
      </c>
      <c r="D6" s="6" t="inlineStr">
        <is>
          <t>Media</t>
        </is>
      </c>
    </row>
    <row r="7">
      <c r="A7" s="3" t="inlineStr">
        <is>
          <t>Listas</t>
        </is>
      </c>
      <c r="B7" s="3" t="inlineStr">
        <is>
          <t>Preferir listas planas</t>
        </is>
      </c>
      <c r="C7" s="3" t="inlineStr">
        <is>
          <t>Formato</t>
        </is>
      </c>
      <c r="D7" s="3" t="inlineStr">
        <is>
          <t>Media</t>
        </is>
      </c>
    </row>
    <row r="8">
      <c r="A8" s="6" t="inlineStr">
        <is>
          <t>Listas</t>
        </is>
      </c>
      <c r="B8" s="6" t="inlineStr">
        <is>
          <t>No anidar listas</t>
        </is>
      </c>
      <c r="C8" s="6" t="inlineStr">
        <is>
          <t>Restricción</t>
        </is>
      </c>
      <c r="D8" s="6" t="inlineStr">
        <is>
          <t>Alta</t>
        </is>
      </c>
    </row>
    <row r="9">
      <c r="A9" s="3" t="inlineStr">
        <is>
          <t>Listas</t>
        </is>
      </c>
      <c r="B9" s="3" t="inlineStr">
        <is>
          <t>No mezclar ordenadas y desordenadas</t>
        </is>
      </c>
      <c r="C9" s="3" t="inlineStr">
        <is>
          <t>Restricción</t>
        </is>
      </c>
      <c r="D9" s="3" t="inlineStr">
        <is>
          <t>Alta</t>
        </is>
      </c>
    </row>
    <row r="10">
      <c r="A10" s="6" t="inlineStr">
        <is>
          <t>Tablas</t>
        </is>
      </c>
      <c r="B10" s="6" t="inlineStr">
        <is>
          <t>Usar tablas para comparaciones</t>
        </is>
      </c>
      <c r="C10" s="6" t="inlineStr">
        <is>
          <t>Formato</t>
        </is>
      </c>
      <c r="D10" s="6" t="inlineStr">
        <is>
          <t>Media</t>
        </is>
      </c>
    </row>
    <row r="11">
      <c r="A11" s="3" t="inlineStr">
        <is>
          <t>Énfasis</t>
        </is>
      </c>
      <c r="B11" s="3" t="inlineStr">
        <is>
          <t>Usar negrita moderadamente</t>
        </is>
      </c>
      <c r="C11" s="3" t="inlineStr">
        <is>
          <t>Formato</t>
        </is>
      </c>
      <c r="D11" s="3" t="inlineStr">
        <is>
          <t>Media</t>
        </is>
      </c>
    </row>
    <row r="12">
      <c r="A12" s="6" t="inlineStr">
        <is>
          <t>Código</t>
        </is>
      </c>
      <c r="B12" s="6" t="inlineStr">
        <is>
          <t>Usar bloques de código con sintaxis</t>
        </is>
      </c>
      <c r="C12" s="6" t="inlineStr">
        <is>
          <t>Formato</t>
        </is>
      </c>
      <c r="D12" s="6" t="inlineStr">
        <is>
          <t>Media</t>
        </is>
      </c>
    </row>
    <row r="13">
      <c r="A13" s="3" t="inlineStr">
        <is>
          <t>Matemáticas</t>
        </is>
      </c>
      <c r="B13" s="3" t="inlineStr">
        <is>
          <t>Siempre usar LaTeX</t>
        </is>
      </c>
      <c r="C13" s="3" t="inlineStr">
        <is>
          <t>Formato</t>
        </is>
      </c>
      <c r="D13" s="3" t="inlineStr">
        <is>
          <t>Alta</t>
        </is>
      </c>
    </row>
    <row r="14">
      <c r="A14" s="6" t="inlineStr">
        <is>
          <t>Matemáticas</t>
        </is>
      </c>
      <c r="B14" s="6" t="inlineStr">
        <is>
          <t>Nunca usar $ o 42622</t>
        </is>
      </c>
      <c r="C14" s="6" t="inlineStr">
        <is>
          <t>Restricción</t>
        </is>
      </c>
      <c r="D14" s="6" t="inlineStr">
        <is>
          <t>Alta</t>
        </is>
      </c>
    </row>
    <row r="15">
      <c r="A15" s="3" t="inlineStr">
        <is>
          <t>Citas</t>
        </is>
      </c>
      <c r="B15" s="3" t="inlineStr">
        <is>
          <t>Citar fuentes después de cada oración</t>
        </is>
      </c>
      <c r="C15" s="3" t="inlineStr">
        <is>
          <t>Requisito</t>
        </is>
      </c>
      <c r="D15" s="3" t="inlineStr">
        <is>
          <t>Alta</t>
        </is>
      </c>
    </row>
    <row r="16">
      <c r="A16" s="6" t="inlineStr">
        <is>
          <t>Citas</t>
        </is>
      </c>
      <c r="B16" s="6" t="inlineStr">
        <is>
          <t>No incluir sección de Referencias</t>
        </is>
      </c>
      <c r="C16" s="6" t="inlineStr">
        <is>
          <t>Restricción</t>
        </is>
      </c>
      <c r="D16" s="6" t="inlineStr">
        <is>
          <t>Alta</t>
        </is>
      </c>
    </row>
    <row r="17">
      <c r="A17" s="3" t="inlineStr">
        <is>
          <t>Fin</t>
        </is>
      </c>
      <c r="B17" s="3" t="inlineStr">
        <is>
          <t>Nunca terminar con pregunta</t>
        </is>
      </c>
      <c r="C17" s="3" t="inlineStr">
        <is>
          <t>Restricción</t>
        </is>
      </c>
      <c r="D17" s="3" t="inlineStr">
        <is>
          <t>Alta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ANÁLISIS DE RENDIMIENTO Y MÉTRICAS</t>
        </is>
      </c>
      <c r="B1" s="29" t="n"/>
      <c r="C1" s="29" t="n"/>
      <c r="D1" s="30" t="n"/>
    </row>
    <row r="3">
      <c r="A3" s="5" t="inlineStr">
        <is>
          <t>Métrica de Calidad</t>
        </is>
      </c>
      <c r="B3" s="5" t="inlineStr">
        <is>
          <t>Valor Actual</t>
        </is>
      </c>
      <c r="C3" s="5" t="inlineStr">
        <is>
          <t>Valor Objetivo</t>
        </is>
      </c>
      <c r="D3" s="5" t="inlineStr">
        <is>
          <t>Desviación %</t>
        </is>
      </c>
    </row>
    <row r="4">
      <c r="A4" s="6" t="inlineStr">
        <is>
          <t>Completitud</t>
        </is>
      </c>
      <c r="B4" s="6" t="n">
        <v>95</v>
      </c>
      <c r="C4" s="6" t="n">
        <v>90</v>
      </c>
      <c r="D4" s="7">
        <f>((B4-C4)/C4)*100</f>
        <v/>
      </c>
    </row>
    <row r="5">
      <c r="A5" s="3" t="inlineStr">
        <is>
          <t>Precisión</t>
        </is>
      </c>
      <c r="B5" s="3" t="n">
        <v>92</v>
      </c>
      <c r="C5" s="3" t="n">
        <v>90</v>
      </c>
      <c r="D5" s="8">
        <f>((B5-C5)/C5)*100</f>
        <v/>
      </c>
    </row>
    <row r="6">
      <c r="A6" s="6" t="inlineStr">
        <is>
          <t>Relevancia</t>
        </is>
      </c>
      <c r="B6" s="6" t="n">
        <v>88</v>
      </c>
      <c r="C6" s="6" t="n">
        <v>85</v>
      </c>
      <c r="D6" s="7">
        <f>((B6-C6)/C6)*100</f>
        <v/>
      </c>
    </row>
    <row r="7">
      <c r="A7" s="3" t="inlineStr">
        <is>
          <t>Optimización</t>
        </is>
      </c>
      <c r="B7" s="3" t="n">
        <v>90</v>
      </c>
      <c r="C7" s="3" t="n">
        <v>85</v>
      </c>
      <c r="D7" s="8">
        <f>((B7-C7)/C7)*100</f>
        <v/>
      </c>
    </row>
    <row r="8">
      <c r="A8" s="6" t="inlineStr">
        <is>
          <t>Originalidad</t>
        </is>
      </c>
      <c r="B8" s="6" t="n">
        <v>98</v>
      </c>
      <c r="C8" s="6" t="n">
        <v>95</v>
      </c>
      <c r="D8" s="7">
        <f>((B8-C8)/C8)*100</f>
        <v/>
      </c>
    </row>
    <row r="9">
      <c r="A9" s="3" t="inlineStr">
        <is>
          <t>Formato</t>
        </is>
      </c>
      <c r="B9" s="3" t="n">
        <v>96</v>
      </c>
      <c r="C9" s="3" t="n">
        <v>95</v>
      </c>
      <c r="D9" s="8">
        <f>((B9-C9)/C9)*100</f>
        <v/>
      </c>
    </row>
    <row r="11">
      <c r="A11" s="9" t="inlineStr">
        <is>
          <t>Promedio:</t>
        </is>
      </c>
      <c r="B11" s="10">
        <f>PROMEDIO(B4:B9)</f>
        <v/>
      </c>
      <c r="C11" s="10">
        <f>PROMEDIO(C4:C9)</f>
        <v/>
      </c>
      <c r="D11" s="8">
        <f>PROMEDIO(D4:D9)</f>
        <v/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VISUALIZACIONES DE DATOS</t>
        </is>
      </c>
      <c r="B1" s="29" t="n"/>
      <c r="C1" s="29" t="n"/>
      <c r="D1" s="29" t="n"/>
      <c r="E1" s="29" t="n"/>
      <c r="F1" s="30" t="n"/>
    </row>
    <row r="3">
      <c r="A3" s="9" t="inlineStr">
        <is>
          <t>Tipo de Contenido</t>
        </is>
      </c>
      <c r="B3" s="9" t="inlineStr">
        <is>
          <t>Frecuencia de Uso</t>
        </is>
      </c>
    </row>
    <row r="4">
      <c r="A4" s="3" t="inlineStr">
        <is>
          <t>Blog Articles</t>
        </is>
      </c>
      <c r="B4" s="3" t="n">
        <v>45</v>
      </c>
    </row>
    <row r="5">
      <c r="A5" s="3" t="inlineStr">
        <is>
          <t>Social Media</t>
        </is>
      </c>
      <c r="B5" s="3" t="n">
        <v>78</v>
      </c>
    </row>
    <row r="6">
      <c r="A6" s="3" t="inlineStr">
        <is>
          <t>Email Marketing</t>
        </is>
      </c>
      <c r="B6" s="3" t="n">
        <v>62</v>
      </c>
    </row>
    <row r="7">
      <c r="A7" s="3" t="inlineStr">
        <is>
          <t>Landing Pages</t>
        </is>
      </c>
      <c r="B7" s="3" t="n">
        <v>34</v>
      </c>
    </row>
    <row r="8">
      <c r="A8" s="3" t="inlineStr">
        <is>
          <t>Copywriting</t>
        </is>
      </c>
      <c r="B8" s="3" t="n">
        <v>56</v>
      </c>
    </row>
    <row r="9">
      <c r="A9" s="3" t="inlineStr">
        <is>
          <t>Product Descriptions</t>
        </is>
      </c>
      <c r="B9" s="3" t="n">
        <v>48</v>
      </c>
    </row>
    <row r="10">
      <c r="A10" s="3" t="inlineStr">
        <is>
          <t>SEO Content</t>
        </is>
      </c>
      <c r="B10" s="3" t="n">
        <v>41</v>
      </c>
    </row>
    <row r="11">
      <c r="A11" s="3" t="inlineStr">
        <is>
          <t>Technical Docs</t>
        </is>
      </c>
      <c r="B11" s="3" t="n">
        <v>29</v>
      </c>
    </row>
    <row r="15">
      <c r="A15" s="9" t="inlineStr">
        <is>
          <t>Mes</t>
        </is>
      </c>
      <c r="B15" s="9" t="inlineStr">
        <is>
          <t>Contenido Generado</t>
        </is>
      </c>
    </row>
    <row r="16">
      <c r="A16" s="3" t="inlineStr">
        <is>
          <t>Ene</t>
        </is>
      </c>
      <c r="B16" s="3" t="n">
        <v>120</v>
      </c>
    </row>
    <row r="17">
      <c r="A17" s="3" t="inlineStr">
        <is>
          <t>Feb</t>
        </is>
      </c>
      <c r="B17" s="3" t="n">
        <v>145</v>
      </c>
    </row>
    <row r="18">
      <c r="A18" s="3" t="inlineStr">
        <is>
          <t>Mar</t>
        </is>
      </c>
      <c r="B18" s="3" t="n">
        <v>138</v>
      </c>
    </row>
    <row r="19">
      <c r="A19" s="3" t="inlineStr">
        <is>
          <t>Abr</t>
        </is>
      </c>
      <c r="B19" s="3" t="n">
        <v>162</v>
      </c>
    </row>
    <row r="20">
      <c r="A20" s="3" t="inlineStr">
        <is>
          <t>May</t>
        </is>
      </c>
      <c r="B20" s="3" t="n">
        <v>175</v>
      </c>
    </row>
    <row r="21">
      <c r="A21" s="3" t="inlineStr">
        <is>
          <t>Jun</t>
        </is>
      </c>
      <c r="B21" s="3" t="n">
        <v>188</v>
      </c>
    </row>
    <row r="24">
      <c r="A24" s="9" t="inlineStr">
        <is>
          <t>Categoría</t>
        </is>
      </c>
      <c r="B24" s="9" t="inlineStr">
        <is>
          <t>Distribución %</t>
        </is>
      </c>
    </row>
    <row r="25">
      <c r="A25" s="3" t="inlineStr">
        <is>
          <t>Format Rules</t>
        </is>
      </c>
      <c r="B25" s="3" t="n">
        <v>25</v>
      </c>
    </row>
    <row r="26">
      <c r="A26" s="3" t="inlineStr">
        <is>
          <t>Restrictions</t>
        </is>
      </c>
      <c r="B26" s="3" t="n">
        <v>20</v>
      </c>
    </row>
    <row r="27">
      <c r="A27" s="3" t="inlineStr">
        <is>
          <t>Query Types</t>
        </is>
      </c>
      <c r="B27" s="3" t="n">
        <v>18</v>
      </c>
    </row>
    <row r="28">
      <c r="A28" s="3" t="inlineStr">
        <is>
          <t>Planning Rules</t>
        </is>
      </c>
      <c r="B28" s="3" t="n">
        <v>15</v>
      </c>
    </row>
    <row r="29">
      <c r="A29" s="3" t="inlineStr">
        <is>
          <t>Output Specs</t>
        </is>
      </c>
      <c r="B29" s="3" t="n">
        <v>12</v>
      </c>
    </row>
    <row r="30">
      <c r="A30" s="3" t="inlineStr">
        <is>
          <t>Other</t>
        </is>
      </c>
      <c r="B30" s="3" t="n">
        <v>10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APÉNDICES Y DATOS DE REFERENCIA</t>
        </is>
      </c>
      <c r="B1" s="29" t="n"/>
      <c r="C1" s="29" t="n"/>
      <c r="D1" s="30" t="n"/>
    </row>
    <row r="3">
      <c r="A3" s="5" t="inlineStr">
        <is>
          <t>GLOSARIO DE TÉRMINOS</t>
        </is>
      </c>
      <c r="B3" s="30" t="n"/>
    </row>
    <row r="4">
      <c r="A4" s="11" t="inlineStr">
        <is>
          <t>Término</t>
        </is>
      </c>
      <c r="B4" s="11" t="inlineStr">
        <is>
          <t>Definición</t>
        </is>
      </c>
    </row>
    <row r="5">
      <c r="A5" s="3" t="inlineStr">
        <is>
          <t>Brief</t>
        </is>
      </c>
      <c r="B5" s="3" t="inlineStr">
        <is>
          <t>Documento que especifica los requisitos del contenido</t>
        </is>
      </c>
    </row>
    <row r="6">
      <c r="A6" s="6" t="inlineStr">
        <is>
          <t>Brand Guidelines</t>
        </is>
      </c>
      <c r="B6" s="6" t="inlineStr">
        <is>
          <t>Pautas que definen voz, tono y estilo de marca</t>
        </is>
      </c>
    </row>
    <row r="7">
      <c r="A7" s="3" t="inlineStr">
        <is>
          <t>Query Type</t>
        </is>
      </c>
      <c r="B7" s="3" t="inlineStr">
        <is>
          <t>Categoría del tipo de contenido solicitado</t>
        </is>
      </c>
    </row>
    <row r="8">
      <c r="A8" s="6" t="inlineStr">
        <is>
          <t>Content Piece</t>
        </is>
      </c>
      <c r="B8" s="6" t="inlineStr">
        <is>
          <t>Pieza final de contenido generada</t>
        </is>
      </c>
    </row>
    <row r="9">
      <c r="A9" s="3" t="inlineStr">
        <is>
          <t>Citation</t>
        </is>
      </c>
      <c r="B9" s="3" t="inlineStr">
        <is>
          <t>Referencia a fuente de información</t>
        </is>
      </c>
    </row>
    <row r="10">
      <c r="A10" s="6" t="inlineStr">
        <is>
          <t>LaTeX</t>
        </is>
      </c>
      <c r="B10" s="6" t="inlineStr">
        <is>
          <t>Sistema de composición tipográfica para fórmulas</t>
        </is>
      </c>
    </row>
    <row r="11">
      <c r="A11" s="3" t="inlineStr">
        <is>
          <t>CTA</t>
        </is>
      </c>
      <c r="B11" s="3" t="inlineStr">
        <is>
          <t>Call to Action - Llamado a la acción</t>
        </is>
      </c>
    </row>
    <row r="12">
      <c r="A12" s="6" t="inlineStr">
        <is>
          <t>SEO</t>
        </is>
      </c>
      <c r="B12" s="6" t="inlineStr">
        <is>
          <t>Search Engine Optimization - Optimización para motores de búsqueda</t>
        </is>
      </c>
    </row>
    <row r="14">
      <c r="A14" s="5" t="inlineStr">
        <is>
          <t>REFERENCIAS CRUZADAS</t>
        </is>
      </c>
      <c r="B14" s="30" t="n"/>
    </row>
    <row r="15">
      <c r="A15" s="11" t="inlineStr">
        <is>
          <t>Referencia</t>
        </is>
      </c>
      <c r="B15" s="11" t="inlineStr">
        <is>
          <t>Descripción</t>
        </is>
      </c>
    </row>
    <row r="16">
      <c r="A16" s="6" t="inlineStr">
        <is>
          <t>Sección 2.1</t>
        </is>
      </c>
      <c r="B16" s="6" t="inlineStr">
        <is>
          <t>Reglas de formato de inicio</t>
        </is>
      </c>
    </row>
    <row r="17">
      <c r="A17" s="3" t="inlineStr">
        <is>
          <t>Sección 3.1</t>
        </is>
      </c>
      <c r="B17" s="3" t="inlineStr">
        <is>
          <t>Restricciones de lenguaje</t>
        </is>
      </c>
    </row>
    <row r="18">
      <c r="A18" s="6" t="inlineStr">
        <is>
          <t>Sección 4.1-4.10</t>
        </is>
      </c>
      <c r="B18" s="6" t="inlineStr">
        <is>
          <t>Especificaciones por tipo de consulta</t>
        </is>
      </c>
    </row>
    <row r="19">
      <c r="A19" s="3" t="inlineStr">
        <is>
          <t>Sección 5.1</t>
        </is>
      </c>
      <c r="B19" s="3" t="inlineStr">
        <is>
          <t>Proceso de planificación</t>
        </is>
      </c>
    </row>
    <row r="20">
      <c r="A20" s="6" t="inlineStr">
        <is>
          <t>Sección 6.1</t>
        </is>
      </c>
      <c r="B20" s="6" t="inlineStr">
        <is>
          <t>Requisitos de calidad</t>
        </is>
      </c>
    </row>
    <row r="21">
      <c r="A21" s="3" t="inlineStr">
        <is>
          <t>Sección 8.1</t>
        </is>
      </c>
      <c r="B21" s="3" t="inlineStr">
        <is>
          <t>Arquitectura de procesamiento</t>
        </is>
      </c>
    </row>
  </sheetData>
  <mergeCells count="3">
    <mergeCell ref="A1:D1"/>
    <mergeCell ref="A14:B14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2025-11-22T08:07:34Z</dcterms:created>
  <dcterms:modified xmlns:dcterms="http://purl.org/dc/terms/" xmlns:xsi="http://www.w3.org/2001/XMLSchema-instance" xsi:type="dcterms:W3CDTF">2025-11-22T08:28:32Z</dcterms:modified>
</cp:coreProperties>
</file>