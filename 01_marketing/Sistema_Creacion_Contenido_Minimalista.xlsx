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Estructura del Sistema" sheetId="3" state="visible" r:id="rId3"/>
    <sheet xmlns:r="http://schemas.openxmlformats.org/officeDocument/2006/relationships" name="Tipos de Contenido" sheetId="4" state="visible" r:id="rId4"/>
    <sheet xmlns:r="http://schemas.openxmlformats.org/officeDocument/2006/relationships" name="Métricas y Análisis" sheetId="5" state="visible" r:id="rId5"/>
    <sheet xmlns:r="http://schemas.openxmlformats.org/officeDocument/2006/relationships" name="Glosario" sheetId="6" state="visible" r:id="rId6"/>
    <sheet xmlns:r="http://schemas.openxmlformats.org/officeDocument/2006/relationships" name="Fórmulas Avanzadas" sheetId="7" state="visible" r:id="rId7"/>
    <sheet xmlns:r="http://schemas.openxmlformats.org/officeDocument/2006/relationships" name="Validación de Datos" sheetId="8" state="visible" r:id="rId8"/>
    <sheet xmlns:r="http://schemas.openxmlformats.org/officeDocument/2006/relationships" name="Casos de Uso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Checklist de Calidad" sheetId="11" state="visible" r:id="rId11"/>
    <sheet xmlns:r="http://schemas.openxmlformats.org/officeDocument/2006/relationships" name="Calendario Editorial" sheetId="12" state="visible" r:id="rId12"/>
    <sheet xmlns:r="http://schemas.openxmlformats.org/officeDocument/2006/relationships" name="Análisis Competencia" sheetId="13" state="visible" r:id="rId13"/>
    <sheet xmlns:r="http://schemas.openxmlformats.org/officeDocument/2006/relationships" name="Plantill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b val="1"/>
      <color rgb="000f172a"/>
      <sz val="32"/>
    </font>
    <font>
      <name val="Times New Roman"/>
      <i val="1"/>
      <color rgb="00fbbf24"/>
      <sz val="18"/>
    </font>
    <font>
      <name val="Times New Roman"/>
      <color rgb="000f172a"/>
      <sz val="12"/>
    </font>
    <font>
      <name val="Times New Roman"/>
      <b val="1"/>
      <color rgb="000f172a"/>
      <sz val="24"/>
    </font>
    <font>
      <name val="Times New Roman"/>
      <color rgb="00fbbf24"/>
      <sz val="12"/>
    </font>
    <font>
      <name val="Times New Roman"/>
      <b val="1"/>
      <color rgb="000f172a"/>
      <sz val="16"/>
    </font>
    <font>
      <name val="Times New Roman"/>
      <b val="1"/>
      <color rgb="00FFFFFF"/>
      <sz val="12"/>
    </font>
    <font>
      <name val="Times New Roman"/>
      <color rgb="000f172a"/>
      <sz val="11"/>
    </font>
    <font>
      <name val="Times New Roman"/>
      <b val="1"/>
      <color rgb="000f172a"/>
      <sz val="20"/>
    </font>
    <font>
      <name val="Times New Roman"/>
      <b val="1"/>
      <color rgb="000f172a"/>
      <sz val="14"/>
    </font>
    <font>
      <name val="Times New Roman"/>
      <b val="1"/>
      <color rgb="000f172a"/>
      <sz val="11"/>
    </font>
    <font>
      <name val="Times New Roman"/>
      <color rgb="000f172a"/>
      <sz val="10"/>
    </font>
    <font>
      <name val="Times New Roman"/>
      <b val="1"/>
      <color rgb="00FFFFFF"/>
      <sz val="11"/>
    </font>
    <font>
      <name val="Times New Roman"/>
      <b val="1"/>
      <color rgb="000f172a"/>
      <sz val="12"/>
    </font>
    <font>
      <name val="Times New Roman"/>
      <b val="1"/>
      <color rgb="00fbbf24"/>
      <sz val="16"/>
    </font>
    <font>
      <name val="Courier New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8F8F8"/>
        <bgColor rgb="00F8F8F8"/>
      </patternFill>
    </fill>
    <fill>
      <patternFill patternType="solid">
        <fgColor rgb="00FFF9E5"/>
        <bgColor rgb="00FFF9E5"/>
      </patternFill>
    </fill>
  </fills>
  <borders count="4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bottom style="thin">
        <color rgb="00fbbf24"/>
      </bottom>
    </border>
    <border>
      <left style="medium">
        <color rgb="00fbbf24"/>
      </left>
      <right style="thin">
        <color rgb="000f172a"/>
      </right>
      <top style="thin">
        <color rgb="000f172a"/>
      </top>
      <bottom style="thin">
        <color rgb="000f172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5" fillId="4" borderId="3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E5F5E5"/>
          <bgColor rgb="00E5F5E5"/>
        </patternFill>
      </fill>
    </dxf>
    <dxf>
      <fill>
        <patternFill patternType="solid">
          <fgColor rgb="00FFF4E5"/>
          <bgColor rgb="00FFF4E5"/>
        </patternFill>
      </fill>
    </dxf>
    <dxf>
      <fill>
        <patternFill patternType="solid">
          <fgColor rgb="00FFE5E5"/>
          <bgColor rgb="00FF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Contenidos Creados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y Análisis'!C5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 y Análisis'!$B$6:$B$11</f>
            </numRef>
          </cat>
          <val>
            <numRef>
              <f>'Métricas y Análisis'!$C$6:$C$11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de Engagement</a:t>
            </a:r>
          </a:p>
        </rich>
      </tx>
    </title>
    <plotArea>
      <lineChart>
        <grouping val="standard"/>
        <ser>
          <idx val="0"/>
          <order val="0"/>
          <tx>
            <strRef>
              <f>'Métricas y Análisis'!D5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'Métricas y Análisis'!$B$6:$B$11</f>
            </numRef>
          </cat>
          <val>
            <numRef>
              <f>'Métricas y Análisis'!$D$6:$D$11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de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'Análisis Competencia'!D5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'Análisis Competencia'!$B$6:$B$9</f>
            </numRef>
          </cat>
          <val>
            <numRef>
              <f>'Análisis Competencia'!$D$6:$D$9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50" customWidth="1" min="3" max="3"/>
    <col width="2" customWidth="1" min="4" max="4"/>
  </cols>
  <sheetData>
    <row r="1" ht="20" customHeight="1">
      <c r="A1" s="1" t="n"/>
      <c r="B1" s="1" t="n"/>
      <c r="C1" s="1" t="n"/>
      <c r="D1" s="1" t="n"/>
    </row>
    <row r="2" ht="20" customHeight="1">
      <c r="A2" s="1" t="n"/>
      <c r="B2" s="1" t="n"/>
      <c r="C2" s="1" t="n"/>
      <c r="D2" s="1" t="n"/>
    </row>
    <row r="3" ht="20" customHeight="1">
      <c r="A3" s="1" t="n"/>
      <c r="B3" s="1" t="n"/>
      <c r="C3" s="1" t="n"/>
      <c r="D3" s="1" t="n"/>
    </row>
    <row r="4" ht="20" customHeight="1">
      <c r="A4" s="1" t="n"/>
      <c r="B4" s="1" t="n"/>
      <c r="C4" s="1" t="n"/>
      <c r="D4" s="1" t="n"/>
    </row>
    <row r="5" ht="20" customHeight="1">
      <c r="A5" s="1" t="n"/>
      <c r="B5" s="1" t="n"/>
      <c r="C5" s="1" t="n"/>
      <c r="D5" s="1" t="n"/>
    </row>
    <row r="6" ht="20" customHeight="1">
      <c r="A6" s="1" t="n"/>
      <c r="B6" s="1" t="n"/>
      <c r="C6" s="1" t="n"/>
      <c r="D6" s="1" t="n"/>
    </row>
    <row r="7" ht="20" customHeight="1">
      <c r="A7" s="1" t="n"/>
      <c r="B7" s="1" t="n"/>
      <c r="C7" s="1" t="n"/>
      <c r="D7" s="1" t="n"/>
    </row>
    <row r="8" ht="20" customHeight="1">
      <c r="A8" s="1" t="n"/>
      <c r="B8" s="1" t="n"/>
      <c r="C8" s="1" t="n"/>
      <c r="D8" s="1" t="n"/>
    </row>
    <row r="9" ht="20" customHeight="1">
      <c r="A9" s="1" t="n"/>
      <c r="B9" s="1" t="n"/>
      <c r="C9" s="1" t="n"/>
      <c r="D9" s="1" t="n"/>
    </row>
    <row r="10" ht="40" customHeight="1">
      <c r="A10" s="1" t="n"/>
      <c r="B10" s="1" t="n"/>
      <c r="C10" s="1" t="n"/>
      <c r="D10" s="1" t="n"/>
    </row>
    <row r="11" ht="20" customHeight="1">
      <c r="A11" s="1" t="n"/>
      <c r="B11" s="1" t="n"/>
      <c r="C11" s="1" t="n"/>
      <c r="D11" s="1" t="n"/>
    </row>
    <row r="12" ht="50" customHeight="1">
      <c r="A12" s="1" t="n"/>
      <c r="B12" s="2" t="inlineStr">
        <is>
          <t>Sistema de Creación de Contenido</t>
        </is>
      </c>
      <c r="C12" s="1" t="n"/>
      <c r="D12" s="1" t="n"/>
    </row>
    <row r="13" ht="20" customHeight="1">
      <c r="A13" s="1" t="n"/>
      <c r="B13" s="1" t="n"/>
      <c r="C13" s="1" t="n"/>
      <c r="D13" s="1" t="n"/>
    </row>
    <row r="14" ht="20" customHeight="1">
      <c r="A14" s="1" t="n"/>
      <c r="B14" s="1" t="n"/>
      <c r="C14" s="1" t="n"/>
      <c r="D14" s="1" t="n"/>
    </row>
    <row r="15" ht="30" customHeight="1">
      <c r="A15" s="1" t="n"/>
      <c r="B15" s="3" t="inlineStr">
        <is>
          <t>Variante 3: Minimalista y Elegante</t>
        </is>
      </c>
      <c r="C15" s="1" t="n"/>
      <c r="D15" s="1" t="n"/>
    </row>
    <row r="16" ht="20" customHeight="1">
      <c r="A16" s="1" t="n"/>
      <c r="B16" s="1" t="n"/>
      <c r="C16" s="1" t="n"/>
      <c r="D16" s="1" t="n"/>
    </row>
    <row r="17" ht="20" customHeight="1">
      <c r="A17" s="1" t="n"/>
      <c r="B17" s="1" t="n"/>
      <c r="C17" s="1" t="n"/>
      <c r="D17" s="1" t="n"/>
    </row>
    <row r="18" ht="20" customHeight="1">
      <c r="A18" s="1" t="n"/>
      <c r="B18" s="1" t="n"/>
      <c r="C18" s="1" t="n"/>
      <c r="D18" s="1" t="n"/>
    </row>
    <row r="19" ht="20" customHeight="1">
      <c r="A19" s="1" t="n"/>
      <c r="B19" s="1" t="n"/>
      <c r="C19" s="1" t="n"/>
      <c r="D19" s="1" t="n"/>
    </row>
    <row r="20" ht="20" customHeight="1">
      <c r="A20" s="1" t="n"/>
      <c r="B20" s="4" t="inlineStr">
        <is>
          <t>Versión: 1.0 | Fecha: 22 de November de 2025</t>
        </is>
      </c>
      <c r="C20" s="1" t="n"/>
      <c r="D20" s="1" t="n"/>
    </row>
    <row r="21" ht="20" customHeight="1">
      <c r="A21" s="1" t="n"/>
      <c r="B21" s="1" t="n"/>
      <c r="C21" s="1" t="n"/>
      <c r="D21" s="1" t="n"/>
    </row>
    <row r="22" ht="20" customHeight="1">
      <c r="A22" s="1" t="n"/>
      <c r="B22" s="1" t="n"/>
      <c r="C22" s="1" t="n"/>
      <c r="D22" s="1" t="n"/>
    </row>
    <row r="23" ht="20" customHeight="1">
      <c r="A23" s="1" t="n"/>
      <c r="B23" s="1" t="n"/>
      <c r="C23" s="1" t="n"/>
      <c r="D23" s="1" t="n"/>
    </row>
    <row r="24" ht="20" customHeight="1">
      <c r="A24" s="1" t="n"/>
      <c r="B24" s="1" t="n"/>
      <c r="C24" s="1" t="n"/>
      <c r="D24" s="1" t="n"/>
    </row>
    <row r="25" ht="20" customHeight="1">
      <c r="A25" s="1" t="n"/>
      <c r="B25" s="1" t="n"/>
      <c r="C25" s="1" t="n"/>
      <c r="D25" s="1" t="n"/>
    </row>
    <row r="26" ht="20" customHeight="1">
      <c r="A26" s="1" t="n"/>
      <c r="B26" s="1" t="n"/>
      <c r="C26" s="1" t="n"/>
      <c r="D26" s="1" t="n"/>
    </row>
    <row r="27" ht="20" customHeight="1">
      <c r="A27" s="1" t="n"/>
      <c r="B27" s="1" t="n"/>
      <c r="C27" s="1" t="n"/>
      <c r="D27" s="1" t="n"/>
    </row>
    <row r="28" ht="20" customHeight="1">
      <c r="A28" s="1" t="n"/>
      <c r="B28" s="1" t="n"/>
      <c r="C28" s="1" t="n"/>
      <c r="D28" s="1" t="n"/>
    </row>
    <row r="29" ht="20" customHeight="1">
      <c r="A29" s="1" t="n"/>
      <c r="B29" s="1" t="n"/>
      <c r="C29" s="1" t="n"/>
      <c r="D29" s="1" t="n"/>
    </row>
    <row r="30" ht="20" customHeight="1">
      <c r="A30" s="1" t="n"/>
      <c r="B30" s="1" t="n"/>
      <c r="C30" s="1" t="n"/>
      <c r="D30" s="1" t="n"/>
    </row>
    <row r="31" ht="20" customHeight="1">
      <c r="A31" s="1" t="n"/>
      <c r="B31" s="1" t="n"/>
      <c r="C31" s="1" t="n"/>
      <c r="D31" s="1" t="n"/>
    </row>
    <row r="32" ht="20" customHeight="1">
      <c r="A32" s="1" t="n"/>
      <c r="B32" s="1" t="n"/>
      <c r="C32" s="1" t="n"/>
      <c r="D32" s="1" t="n"/>
    </row>
    <row r="33" ht="20" customHeight="1">
      <c r="A33" s="1" t="n"/>
      <c r="B33" s="1" t="n"/>
      <c r="C33" s="1" t="n"/>
      <c r="D33" s="1" t="n"/>
    </row>
    <row r="34" ht="20" customHeight="1">
      <c r="A34" s="1" t="n"/>
      <c r="B34" s="1" t="n"/>
      <c r="C34" s="1" t="n"/>
      <c r="D34" s="1" t="n"/>
    </row>
    <row r="35" ht="20" customHeight="1">
      <c r="A35" s="1" t="n"/>
      <c r="B35" s="1" t="n"/>
      <c r="C35" s="1" t="n"/>
      <c r="D35" s="1" t="n"/>
    </row>
    <row r="36" ht="20" customHeight="1">
      <c r="A36" s="1" t="n"/>
      <c r="B36" s="1" t="n"/>
      <c r="C36" s="1" t="n"/>
      <c r="D36" s="1" t="n"/>
    </row>
    <row r="37" ht="20" customHeight="1">
      <c r="A37" s="1" t="n"/>
      <c r="B37" s="1" t="n"/>
      <c r="C37" s="1" t="n"/>
      <c r="D37" s="1" t="n"/>
    </row>
    <row r="38" ht="20" customHeight="1">
      <c r="A38" s="1" t="n"/>
      <c r="B38" s="1" t="n"/>
      <c r="C38" s="1" t="n"/>
      <c r="D38" s="1" t="n"/>
    </row>
    <row r="39" ht="20" customHeight="1">
      <c r="A39" s="1" t="n"/>
      <c r="B39" s="1" t="n"/>
      <c r="C39" s="1" t="n"/>
      <c r="D39" s="1" t="n"/>
    </row>
    <row r="40" ht="20" customHeight="1">
      <c r="A40" s="1" t="n"/>
      <c r="B40" s="1" t="n"/>
      <c r="C40" s="1" t="n"/>
      <c r="D40" s="1" t="n"/>
    </row>
    <row r="41" ht="20" customHeight="1">
      <c r="A41" s="1" t="n"/>
      <c r="B41" s="1" t="n"/>
      <c r="C41" s="1" t="n"/>
      <c r="D41" s="1" t="n"/>
    </row>
    <row r="42" ht="20" customHeight="1">
      <c r="A42" s="1" t="n"/>
      <c r="B42" s="1" t="n"/>
      <c r="C42" s="1" t="n"/>
      <c r="D42" s="1" t="n"/>
    </row>
    <row r="43" ht="20" customHeight="1">
      <c r="A43" s="1" t="n"/>
      <c r="B43" s="1" t="n"/>
      <c r="C43" s="1" t="n"/>
      <c r="D43" s="1" t="n"/>
    </row>
    <row r="44" ht="20" customHeight="1">
      <c r="A44" s="1" t="n"/>
      <c r="B44" s="1" t="n"/>
      <c r="C44" s="1" t="n"/>
      <c r="D44" s="1" t="n"/>
    </row>
    <row r="45" ht="20" customHeight="1">
      <c r="A45" s="1" t="n"/>
      <c r="B45" s="1" t="n"/>
      <c r="C45" s="1" t="n"/>
      <c r="D45" s="1" t="n"/>
    </row>
    <row r="46" ht="20" customHeight="1">
      <c r="A46" s="1" t="n"/>
      <c r="B46" s="1" t="n"/>
      <c r="C46" s="1" t="n"/>
      <c r="D46" s="1" t="n"/>
    </row>
    <row r="47" ht="20" customHeight="1">
      <c r="A47" s="1" t="n"/>
      <c r="B47" s="1" t="n"/>
      <c r="C47" s="1" t="n"/>
      <c r="D47" s="1" t="n"/>
    </row>
    <row r="48" ht="20" customHeight="1">
      <c r="A48" s="1" t="n"/>
      <c r="B48" s="1" t="n"/>
      <c r="C48" s="1" t="n"/>
      <c r="D48" s="1" t="n"/>
    </row>
    <row r="49" ht="20" customHeight="1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2">
      <c r="B2" s="5" t="inlineStr">
        <is>
          <t>Resumen Ejecutivo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7" t="inlineStr">
        <is>
          <t>KPIs Principales</t>
        </is>
      </c>
    </row>
    <row r="7">
      <c r="B7" s="8" t="inlineStr">
        <is>
          <t>Métrica</t>
        </is>
      </c>
      <c r="C7" s="8" t="inlineStr">
        <is>
          <t>Valor</t>
        </is>
      </c>
      <c r="D7" s="8" t="inlineStr">
        <is>
          <t>Objetivo</t>
        </is>
      </c>
      <c r="E7" s="8" t="inlineStr">
        <is>
          <t>Estado</t>
        </is>
      </c>
    </row>
    <row r="8">
      <c r="B8" s="9" t="inlineStr">
        <is>
          <t>Contenidos Creados</t>
        </is>
      </c>
      <c r="C8" s="9" t="n">
        <v>45</v>
      </c>
      <c r="D8" s="9" t="n">
        <v>50</v>
      </c>
      <c r="E8" s="9" t="inlineStr">
        <is>
          <t>90%</t>
        </is>
      </c>
    </row>
    <row r="9">
      <c r="B9" s="10" t="inlineStr">
        <is>
          <t>Tasa de Engagement</t>
        </is>
      </c>
      <c r="C9" s="10" t="inlineStr">
        <is>
          <t>8.5%</t>
        </is>
      </c>
      <c r="D9" s="10" t="inlineStr">
        <is>
          <t>10%</t>
        </is>
      </c>
      <c r="E9" s="10" t="inlineStr">
        <is>
          <t>85%</t>
        </is>
      </c>
    </row>
    <row r="10">
      <c r="B10" s="9" t="inlineStr">
        <is>
          <t>Alcance Total</t>
        </is>
      </c>
      <c r="C10" s="9" t="inlineStr">
        <is>
          <t>125K</t>
        </is>
      </c>
      <c r="D10" s="9" t="inlineStr">
        <is>
          <t>150K</t>
        </is>
      </c>
      <c r="E10" s="9" t="inlineStr">
        <is>
          <t>83%</t>
        </is>
      </c>
    </row>
    <row r="11">
      <c r="B11" s="10" t="inlineStr">
        <is>
          <t>Conversiones</t>
        </is>
      </c>
      <c r="C11" s="10" t="n">
        <v>23</v>
      </c>
      <c r="D11" s="10" t="n">
        <v>30</v>
      </c>
      <c r="E11" s="10" t="inlineStr">
        <is>
          <t>77%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2">
      <c r="B2" s="11" t="inlineStr">
        <is>
          <t>Estructura del Sistema de Creación de Contenido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12" t="inlineStr">
        <is>
          <t>Goal</t>
        </is>
      </c>
      <c r="C5" s="13" t="inlineStr">
        <is>
          <t>Definición del objetivo del Content Creator</t>
        </is>
      </c>
    </row>
    <row r="8">
      <c r="B8" s="12" t="inlineStr">
        <is>
          <t>Format Rules</t>
        </is>
      </c>
      <c r="C8" s="13" t="inlineStr">
        <is>
          <t>Reglas de formato para contenido bien estructurado</t>
        </is>
      </c>
    </row>
    <row r="11">
      <c r="B11" s="12" t="inlineStr">
        <is>
          <t>Restrictions</t>
        </is>
      </c>
      <c r="C11" s="13" t="inlineStr">
        <is>
          <t>Restricciones y límites del sistema</t>
        </is>
      </c>
    </row>
    <row r="14">
      <c r="B14" s="12" t="inlineStr">
        <is>
          <t>Query Type</t>
        </is>
      </c>
      <c r="C14" s="13" t="inlineStr">
        <is>
          <t>Tipos de consulta soportados</t>
        </is>
      </c>
    </row>
    <row r="17">
      <c r="B17" s="12" t="inlineStr">
        <is>
          <t>Planning Rules</t>
        </is>
      </c>
      <c r="C17" s="13" t="inlineStr">
        <is>
          <t>Reglas para planificación de contenido</t>
        </is>
      </c>
    </row>
    <row r="20">
      <c r="B20" s="12" t="inlineStr">
        <is>
          <t>Output</t>
        </is>
      </c>
      <c r="C20" s="13" t="inlineStr">
        <is>
          <t>Especificaciones de salida</t>
        </is>
      </c>
    </row>
    <row r="23">
      <c r="B23" s="12" t="inlineStr">
        <is>
          <t>Personalization</t>
        </is>
      </c>
      <c r="C23" s="13" t="inlineStr">
        <is>
          <t>Personalización del sistema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11" t="inlineStr">
        <is>
          <t>Tipos de Contenido Soportados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8" t="inlineStr">
        <is>
          <t>Tipo</t>
        </is>
      </c>
      <c r="C5" s="8" t="inlineStr">
        <is>
          <t>Descripción</t>
        </is>
      </c>
    </row>
    <row r="6">
      <c r="B6" s="14" t="inlineStr">
        <is>
          <t>Blog Articles</t>
        </is>
      </c>
      <c r="C6" s="15" t="inlineStr">
        <is>
          <t>Artículos largos y detallados con secciones claras, markdown y headings</t>
        </is>
      </c>
    </row>
    <row r="7">
      <c r="B7" s="16" t="inlineStr">
        <is>
          <t>Social Media Posts</t>
        </is>
      </c>
      <c r="C7" s="17" t="inlineStr">
        <is>
          <t>Contenido conciso y atractivo optimizado para plataformas específicas</t>
        </is>
      </c>
    </row>
    <row r="8">
      <c r="B8" s="14" t="inlineStr">
        <is>
          <t>Email Marketing</t>
        </is>
      </c>
      <c r="C8" s="15" t="inlineStr">
        <is>
          <t>Mensajes claros con llamados a la acción fuertes</t>
        </is>
      </c>
    </row>
    <row r="9">
      <c r="B9" s="16" t="inlineStr">
        <is>
          <t>Landing Pages</t>
        </is>
      </c>
      <c r="C9" s="17" t="inlineStr">
        <is>
          <t>Copy persuasivo y enfocado en conversión</t>
        </is>
      </c>
    </row>
    <row r="10">
      <c r="B10" s="14" t="inlineStr">
        <is>
          <t>Copywriting</t>
        </is>
      </c>
      <c r="C10" s="15" t="inlineStr">
        <is>
          <t>Lenguaje persuasivo con propuestas de valor claras</t>
        </is>
      </c>
    </row>
    <row r="11">
      <c r="B11" s="16" t="inlineStr">
        <is>
          <t>Product Descriptions</t>
        </is>
      </c>
      <c r="C11" s="17" t="inlineStr">
        <is>
          <t>Descripciones detalladas con características y beneficios</t>
        </is>
      </c>
    </row>
    <row r="12">
      <c r="B12" s="14" t="inlineStr">
        <is>
          <t>SEO Content</t>
        </is>
      </c>
      <c r="C12" s="15" t="inlineStr">
        <is>
          <t>Contenido optimizado con keywords naturales</t>
        </is>
      </c>
    </row>
    <row r="13">
      <c r="B13" s="16" t="inlineStr">
        <is>
          <t>Creative Writing</t>
        </is>
      </c>
      <c r="C13" s="17" t="inlineStr">
        <is>
          <t>Escritura creativa siguiendo dirección del usuario</t>
        </is>
      </c>
    </row>
    <row r="14">
      <c r="B14" s="14" t="inlineStr">
        <is>
          <t>Technical Documentation</t>
        </is>
      </c>
      <c r="C14" s="15" t="inlineStr">
        <is>
          <t>Documentación técnica con ejemplos de código</t>
        </is>
      </c>
    </row>
    <row r="15">
      <c r="B15" s="16" t="inlineStr">
        <is>
          <t>Content Strategy</t>
        </is>
      </c>
      <c r="C15" s="17" t="inlineStr">
        <is>
          <t>Estrategia de contenido basada en brand guidelines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1" t="inlineStr">
        <is>
          <t>Análisis de Métricas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18" t="inlineStr">
        <is>
          <t>Mes</t>
        </is>
      </c>
      <c r="C5" s="18" t="inlineStr">
        <is>
          <t>Contenidos</t>
        </is>
      </c>
      <c r="D5" s="18" t="inlineStr">
        <is>
          <t>Engagement %</t>
        </is>
      </c>
      <c r="E5" s="18" t="inlineStr">
        <is>
          <t>Alcance</t>
        </is>
      </c>
      <c r="F5" s="18" t="inlineStr">
        <is>
          <t>Conversiones</t>
        </is>
      </c>
      <c r="G5" s="18" t="inlineStr">
        <is>
          <t>ROI %</t>
        </is>
      </c>
    </row>
    <row r="6">
      <c r="B6" s="19" t="inlineStr">
        <is>
          <t>Enero</t>
        </is>
      </c>
      <c r="C6" s="19" t="n">
        <v>35</v>
      </c>
      <c r="D6" s="19" t="n">
        <v>7.2</v>
      </c>
      <c r="E6" s="19" t="n">
        <v>87500</v>
      </c>
      <c r="F6" s="19" t="n">
        <v>17</v>
      </c>
      <c r="G6" s="19">
        <f>((E6*10-B6*50)/B6/50)*100</f>
        <v/>
      </c>
    </row>
    <row r="7">
      <c r="B7" s="20" t="inlineStr">
        <is>
          <t>Febrero</t>
        </is>
      </c>
      <c r="C7" s="20" t="n">
        <v>42</v>
      </c>
      <c r="D7" s="20" t="n">
        <v>8.1</v>
      </c>
      <c r="E7" s="20" t="n">
        <v>105000</v>
      </c>
      <c r="F7" s="20" t="n">
        <v>21</v>
      </c>
      <c r="G7" s="20">
        <f>((E7*10-B7*50)/B7/50)*100</f>
        <v/>
      </c>
    </row>
    <row r="8">
      <c r="B8" s="19" t="inlineStr">
        <is>
          <t>Marzo</t>
        </is>
      </c>
      <c r="C8" s="19" t="n">
        <v>38</v>
      </c>
      <c r="D8" s="19" t="n">
        <v>7.8</v>
      </c>
      <c r="E8" s="19" t="n">
        <v>95000</v>
      </c>
      <c r="F8" s="19" t="n">
        <v>19</v>
      </c>
      <c r="G8" s="19">
        <f>((E8*10-B8*50)/B8/50)*100</f>
        <v/>
      </c>
    </row>
    <row r="9">
      <c r="B9" s="20" t="inlineStr">
        <is>
          <t>Abril</t>
        </is>
      </c>
      <c r="C9" s="20" t="n">
        <v>45</v>
      </c>
      <c r="D9" s="20" t="n">
        <v>8.5</v>
      </c>
      <c r="E9" s="20" t="n">
        <v>112500</v>
      </c>
      <c r="F9" s="20" t="n">
        <v>22</v>
      </c>
      <c r="G9" s="20">
        <f>((E9*10-B9*50)/B9/50)*100</f>
        <v/>
      </c>
    </row>
    <row r="10">
      <c r="B10" s="19" t="inlineStr">
        <is>
          <t>Mayo</t>
        </is>
      </c>
      <c r="C10" s="19" t="n">
        <v>48</v>
      </c>
      <c r="D10" s="19" t="n">
        <v>9.1</v>
      </c>
      <c r="E10" s="19" t="n">
        <v>120000</v>
      </c>
      <c r="F10" s="19" t="n">
        <v>24</v>
      </c>
      <c r="G10" s="19">
        <f>((E10*10-B10*50)/B10/50)*100</f>
        <v/>
      </c>
    </row>
    <row r="11">
      <c r="B11" s="20" t="inlineStr">
        <is>
          <t>Junio</t>
        </is>
      </c>
      <c r="C11" s="20" t="n">
        <v>52</v>
      </c>
      <c r="D11" s="20" t="n">
        <v>9.5</v>
      </c>
      <c r="E11" s="20" t="n">
        <v>130000</v>
      </c>
      <c r="F11" s="20" t="n">
        <v>26</v>
      </c>
      <c r="G11" s="20">
        <f>((E11*10-B11*50)/B11/50)*100</f>
        <v/>
      </c>
    </row>
  </sheetData>
  <conditionalFormatting sqref="D6:D11">
    <cfRule type="colorScale" priority="1">
      <colorScale>
        <cfvo type="num" val="7"/>
        <cfvo type="num" val="8.5"/>
        <cfvo type="num" val="10"/>
        <color rgb="00FFE5E5"/>
        <color rgb="00FFF4E5"/>
        <color rgb="00E5F5E5"/>
      </colorScale>
    </cfRule>
  </conditionalFormatting>
  <conditionalFormatting sqref="G6:G11">
    <cfRule type="expression" priority="2" dxfId="0" stopIfTrue="1">
      <formula>G6&gt;0</formula>
    </cfRule>
  </conditionalFormatting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</cols>
  <sheetData>
    <row r="2">
      <c r="B2" s="11" t="inlineStr">
        <is>
          <t>Glosario de Términos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1" t="inlineStr">
        <is>
          <t>Content Creator</t>
        </is>
      </c>
      <c r="C5" s="22" t="inlineStr">
        <is>
          <t>Profesional especializado en crear contenido estratégico y de alto rendimiento</t>
        </is>
      </c>
    </row>
    <row r="7">
      <c r="B7" s="21" t="inlineStr">
        <is>
          <t>Brand Voice</t>
        </is>
      </c>
      <c r="C7" s="22" t="inlineStr">
        <is>
          <t>Tono y estilo único de comunicación de una marca</t>
        </is>
      </c>
    </row>
    <row r="9">
      <c r="B9" s="21" t="inlineStr">
        <is>
          <t>Content Brief</t>
        </is>
      </c>
      <c r="C9" s="22" t="inlineStr">
        <is>
          <t>Documento que especifica los requisitos y objetivos del contenido</t>
        </is>
      </c>
    </row>
    <row r="11">
      <c r="B11" s="21" t="inlineStr">
        <is>
          <t>Engagement</t>
        </is>
      </c>
      <c r="C11" s="22" t="inlineStr">
        <is>
          <t>Interacción del público con el contenido (likes, comentarios, shares)</t>
        </is>
      </c>
    </row>
    <row r="13">
      <c r="B13" s="21" t="inlineStr">
        <is>
          <t>Call-to-Action (CTA)</t>
        </is>
      </c>
      <c r="C13" s="22" t="inlineStr">
        <is>
          <t>Invitación clara a realizar una acción específica</t>
        </is>
      </c>
    </row>
    <row r="15">
      <c r="B15" s="21" t="inlineStr">
        <is>
          <t>SEO</t>
        </is>
      </c>
      <c r="C15" s="22" t="inlineStr">
        <is>
          <t>Optimización para motores de búsqueda</t>
        </is>
      </c>
    </row>
    <row r="17">
      <c r="B17" s="21" t="inlineStr">
        <is>
          <t>UGC</t>
        </is>
      </c>
      <c r="C17" s="22" t="inlineStr">
        <is>
          <t>Contenido generado por usuarios</t>
        </is>
      </c>
    </row>
    <row r="19">
      <c r="B19" s="21" t="inlineStr">
        <is>
          <t>Landing Page</t>
        </is>
      </c>
      <c r="C19" s="22" t="inlineStr">
        <is>
          <t>Página web diseñada para convertir visitantes en clientes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20" customWidth="1" min="4" max="4"/>
  </cols>
  <sheetData>
    <row r="2">
      <c r="B2" s="11" t="inlineStr">
        <is>
          <t>Fórmulas Avanzadas y Ejemplos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3" t="inlineStr">
        <is>
          <t>Categoría</t>
        </is>
      </c>
      <c r="C5" s="23" t="inlineStr">
        <is>
          <t>Fórmula</t>
        </is>
      </c>
      <c r="D5" s="23" t="inlineStr">
        <is>
          <t>Descripción</t>
        </is>
      </c>
      <c r="E5" s="23" t="inlineStr">
        <is>
          <t>Ejemplo</t>
        </is>
      </c>
    </row>
    <row r="6">
      <c r="B6" s="15" t="inlineStr">
        <is>
          <t>Búsqueda</t>
        </is>
      </c>
      <c r="C6" s="15" t="inlineStr">
        <is>
          <t>BUSCARV(valor;matriz;columna;0)</t>
        </is>
      </c>
      <c r="D6" s="15" t="inlineStr">
        <is>
          <t>Busca un valor en la primera columna</t>
        </is>
      </c>
      <c r="E6" s="15">
        <f>BUSCARV(A2;Datos!A:B;2;0)</f>
        <v/>
      </c>
    </row>
    <row r="7">
      <c r="B7" s="17" t="inlineStr">
        <is>
          <t>Búsqueda</t>
        </is>
      </c>
      <c r="C7" s="17" t="inlineStr">
        <is>
          <t>INDICE(matriz;fila;columna)</t>
        </is>
      </c>
      <c r="D7" s="17" t="inlineStr">
        <is>
          <t>Devuelve valor de matriz</t>
        </is>
      </c>
      <c r="E7" s="17">
        <f>INDICE(A1:C10;5;2)</f>
        <v/>
      </c>
    </row>
    <row r="8">
      <c r="B8" s="15" t="inlineStr">
        <is>
          <t>Condicional</t>
        </is>
      </c>
      <c r="C8" s="15" t="inlineStr">
        <is>
          <t>SUMAR.SI(rango;criterio;suma)</t>
        </is>
      </c>
      <c r="D8" s="15" t="inlineStr">
        <is>
          <t>Suma con condición</t>
        </is>
      </c>
      <c r="E8" s="15">
        <f>SUMAR.SI(B:B;"&gt;100";C:C)</f>
        <v/>
      </c>
    </row>
    <row r="9">
      <c r="B9" s="17" t="inlineStr">
        <is>
          <t>Condicional</t>
        </is>
      </c>
      <c r="C9" s="17" t="inlineStr">
        <is>
          <t>CONTAR.SI(rango;criterio)</t>
        </is>
      </c>
      <c r="D9" s="17" t="inlineStr">
        <is>
          <t>Cuenta con condición</t>
        </is>
      </c>
      <c r="E9" s="17">
        <f>CONTAR.SI(A:A;"Aprobado")</f>
        <v/>
      </c>
    </row>
    <row r="10">
      <c r="B10" s="15" t="inlineStr">
        <is>
          <t>Lógica</t>
        </is>
      </c>
      <c r="C10" s="15" t="inlineStr">
        <is>
          <t>SI(condición;verdadero;falso)</t>
        </is>
      </c>
      <c r="D10" s="15" t="inlineStr">
        <is>
          <t>Lógica condicional</t>
        </is>
      </c>
      <c r="E10" s="15">
        <f>SI(A1&gt;100;"Alto";"Bajo")</f>
        <v/>
      </c>
    </row>
    <row r="11">
      <c r="B11" s="17" t="inlineStr">
        <is>
          <t>Lógica</t>
        </is>
      </c>
      <c r="C11" s="17" t="inlineStr">
        <is>
          <t>SI.ERROR(valor;valor_si_error)</t>
        </is>
      </c>
      <c r="D11" s="17" t="inlineStr">
        <is>
          <t>Manejo de errores</t>
        </is>
      </c>
      <c r="E11" s="17">
        <f>SI.ERROR(A1/B1;"Error")</f>
        <v/>
      </c>
    </row>
    <row r="12">
      <c r="B12" s="15" t="inlineStr">
        <is>
          <t>Texto</t>
        </is>
      </c>
      <c r="C12" s="15" t="inlineStr">
        <is>
          <t>CONCATENAR(texto1;texto2)</t>
        </is>
      </c>
      <c r="D12" s="15" t="inlineStr">
        <is>
          <t>Une textos</t>
        </is>
      </c>
      <c r="E12" s="15">
        <f>CONCATENAR(A1;" ";B1)</f>
        <v/>
      </c>
    </row>
    <row r="13">
      <c r="B13" s="17" t="inlineStr">
        <is>
          <t>Texto</t>
        </is>
      </c>
      <c r="C13" s="17" t="inlineStr">
        <is>
          <t>EXTRAE(texto;inicio;longitud)</t>
        </is>
      </c>
      <c r="D13" s="17" t="inlineStr">
        <is>
          <t>Extrae parte del texto</t>
        </is>
      </c>
      <c r="E13" s="17">
        <f>EXTRAE(A1;1;5)</f>
        <v/>
      </c>
    </row>
    <row r="14">
      <c r="B14" s="15" t="inlineStr">
        <is>
          <t>Fecha</t>
        </is>
      </c>
      <c r="C14" s="15" t="inlineStr">
        <is>
          <t>AÑO(fecha)</t>
        </is>
      </c>
      <c r="D14" s="15" t="inlineStr">
        <is>
          <t>Extrae año</t>
        </is>
      </c>
      <c r="E14" s="15">
        <f>AÑO(HOY())</f>
        <v/>
      </c>
    </row>
    <row r="15">
      <c r="B15" s="17" t="inlineStr">
        <is>
          <t>Fecha</t>
        </is>
      </c>
      <c r="C15" s="17" t="inlineStr">
        <is>
          <t>MES(fecha)</t>
        </is>
      </c>
      <c r="D15" s="17" t="inlineStr">
        <is>
          <t>Extrae mes</t>
        </is>
      </c>
      <c r="E15" s="17">
        <f>MES(HOY())</f>
        <v/>
      </c>
    </row>
    <row r="16">
      <c r="B16" s="15" t="inlineStr">
        <is>
          <t>Estadística</t>
        </is>
      </c>
      <c r="C16" s="15" t="inlineStr">
        <is>
          <t>PROMEDIO.SI(rango;criterio)</t>
        </is>
      </c>
      <c r="D16" s="15" t="inlineStr">
        <is>
          <t>Promedio condicional</t>
        </is>
      </c>
      <c r="E16" s="15">
        <f>PROMEDIO.SI(A:A;"&gt;50")</f>
        <v/>
      </c>
    </row>
    <row r="17">
      <c r="B17" s="17" t="inlineStr">
        <is>
          <t>Estadística</t>
        </is>
      </c>
      <c r="C17" s="17" t="inlineStr">
        <is>
          <t>DESVEST(rango)</t>
        </is>
      </c>
      <c r="D17" s="17" t="inlineStr">
        <is>
          <t>Desviación estándar</t>
        </is>
      </c>
      <c r="E17" s="17">
        <f>DESVEST(A1:A100)</f>
        <v/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40" customWidth="1" min="4" max="4"/>
  </cols>
  <sheetData>
    <row r="2">
      <c r="B2" s="11" t="inlineStr">
        <is>
          <t>Validación de Datos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3" t="inlineStr">
        <is>
          <t>Campo</t>
        </is>
      </c>
      <c r="C5" s="23" t="inlineStr">
        <is>
          <t>Tipo Validación</t>
        </is>
      </c>
      <c r="D5" s="23" t="inlineStr">
        <is>
          <t>Valores Permitidos</t>
        </is>
      </c>
      <c r="E5" s="23" t="inlineStr">
        <is>
          <t>Descripción</t>
        </is>
      </c>
    </row>
    <row r="6">
      <c r="B6" s="15" t="inlineStr">
        <is>
          <t>Tipo de Contenido</t>
        </is>
      </c>
      <c r="C6" s="15" t="inlineStr">
        <is>
          <t>Lista</t>
        </is>
      </c>
      <c r="D6" s="15" t="inlineStr">
        <is>
          <t>Blog, Social Media, Email, Landing</t>
        </is>
      </c>
      <c r="E6" s="15" t="inlineStr">
        <is>
          <t>Selección de tipo</t>
        </is>
      </c>
    </row>
    <row r="7">
      <c r="B7" s="17" t="inlineStr">
        <is>
          <t>Estado</t>
        </is>
      </c>
      <c r="C7" s="17" t="inlineStr">
        <is>
          <t>Lista</t>
        </is>
      </c>
      <c r="D7" s="17" t="inlineStr">
        <is>
          <t>Borrador, Revisión, Publicado</t>
        </is>
      </c>
      <c r="E7" s="17" t="inlineStr">
        <is>
          <t>Estado del contenido</t>
        </is>
      </c>
    </row>
    <row r="8">
      <c r="B8" s="15" t="inlineStr">
        <is>
          <t>Prioridad</t>
        </is>
      </c>
      <c r="C8" s="15" t="inlineStr">
        <is>
          <t>Lista</t>
        </is>
      </c>
      <c r="D8" s="15" t="inlineStr">
        <is>
          <t>Alta, Media, Baja</t>
        </is>
      </c>
      <c r="E8" s="15" t="inlineStr">
        <is>
          <t>Nivel de prioridad</t>
        </is>
      </c>
    </row>
    <row r="9">
      <c r="B9" s="17" t="inlineStr">
        <is>
          <t>Fecha Publicación</t>
        </is>
      </c>
      <c r="C9" s="17" t="inlineStr">
        <is>
          <t>Fecha</t>
        </is>
      </c>
      <c r="D9" s="17" t="inlineStr">
        <is>
          <t>&gt;=HOY()</t>
        </is>
      </c>
      <c r="E9" s="17" t="inlineStr">
        <is>
          <t>Fecha futura o hoy</t>
        </is>
      </c>
    </row>
    <row r="10">
      <c r="B10" s="15" t="inlineStr">
        <is>
          <t>Engagement %</t>
        </is>
      </c>
      <c r="C10" s="15" t="inlineStr">
        <is>
          <t>Decimal</t>
        </is>
      </c>
      <c r="D10" s="15" t="inlineStr">
        <is>
          <t>0-100</t>
        </is>
      </c>
      <c r="E10" s="15" t="inlineStr">
        <is>
          <t>Porcentaje de engagement</t>
        </is>
      </c>
    </row>
    <row r="11">
      <c r="B11" s="17" t="inlineStr">
        <is>
          <t>Alcance</t>
        </is>
      </c>
      <c r="C11" s="17" t="inlineStr">
        <is>
          <t>Entero</t>
        </is>
      </c>
      <c r="D11" s="17" t="inlineStr">
        <is>
          <t>&gt;=0</t>
        </is>
      </c>
      <c r="E11" s="17" t="inlineStr">
        <is>
          <t>Número positivo</t>
        </is>
      </c>
    </row>
    <row r="15">
      <c r="B15" s="24" t="inlineStr">
        <is>
          <t>Ejemplo Práctico</t>
        </is>
      </c>
    </row>
    <row r="16">
      <c r="B16" s="25" t="inlineStr">
        <is>
          <t>Tipo:</t>
        </is>
      </c>
      <c r="C16" s="25" t="inlineStr">
        <is>
          <t>Estado:</t>
        </is>
      </c>
    </row>
    <row r="17">
      <c r="B17" s="26" t="inlineStr">
        <is>
          <t>Selecciona...</t>
        </is>
      </c>
      <c r="C17" s="26" t="inlineStr">
        <is>
          <t>Selecciona...</t>
        </is>
      </c>
    </row>
  </sheetData>
  <dataValidations count="2">
    <dataValidation sqref="B17" showDropDown="0" showInputMessage="0" showErrorMessage="0" allowBlank="1" errorTitle="Error de validación" error="Selecciona un tipo válido" type="list">
      <formula1>"Blog,Social Media,Email,Landing"</formula1>
    </dataValidation>
    <dataValidation sqref="C17" showDropDown="0" showInputMessage="0" showErrorMessage="0" allowBlank="1" errorTitle="Error de validación" error="Selecciona un estado válido" type="list">
      <formula1>"Borrador,Revisión,Publicado"</formula1>
    </dataValidation>
  </dataValidations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11" t="inlineStr">
        <is>
          <t>Casos de Uso Prácticos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1" t="inlineStr">
        <is>
          <t>Caso 1: Blog Article</t>
        </is>
      </c>
      <c r="C5" s="22" t="inlineStr">
        <is>
          <t>Crear un artículo de blog de 2000 palabras sobre "Tendencias de Marketing Digital 2025" con secciones claras, citas y llamados a la acción</t>
        </is>
      </c>
    </row>
    <row r="7">
      <c r="B7" s="21" t="inlineStr">
        <is>
          <t>Caso 2: Social Media</t>
        </is>
      </c>
      <c r="C7" s="22" t="inlineStr">
        <is>
          <t>Generar 10 publicaciones para Instagram sobre un nuevo producto, optimizadas para engagement y con hashtags relevantes</t>
        </is>
      </c>
    </row>
    <row r="9">
      <c r="B9" s="21" t="inlineStr">
        <is>
          <t>Caso 3: Email Marketing</t>
        </is>
      </c>
      <c r="C9" s="22" t="inlineStr">
        <is>
          <t>Crear una secuencia de 5 emails de bienvenida para nuevos suscriptores con CTAs estratégicos</t>
        </is>
      </c>
    </row>
    <row r="11">
      <c r="B11" s="21" t="inlineStr">
        <is>
          <t>Caso 4: Landing Page</t>
        </is>
      </c>
      <c r="C11" s="22" t="inlineStr">
        <is>
          <t>Desarrollar copy persuasivo para landing page de producto SaaS con enfoque en conversión</t>
        </is>
      </c>
    </row>
    <row r="13">
      <c r="B13" s="21" t="inlineStr">
        <is>
          <t>Caso 5: Product Description</t>
        </is>
      </c>
      <c r="C13" s="22" t="inlineStr">
        <is>
          <t>Escribir descripciones detalladas de productos e-commerce con características, beneficios y puntos de venta</t>
        </is>
      </c>
    </row>
    <row r="15">
      <c r="B15" s="21" t="inlineStr">
        <is>
          <t>Caso 6: SEO Content</t>
        </is>
      </c>
      <c r="C15" s="22" t="inlineStr">
        <is>
          <t>Crear contenido optimizado para SEO sobre "Cómo mejorar el SEO técnico" con keywords naturales</t>
        </is>
      </c>
    </row>
    <row r="17">
      <c r="B17" s="21" t="inlineStr">
        <is>
          <t>Caso 7: Technical Doc</t>
        </is>
      </c>
      <c r="C17" s="22" t="inlineStr">
        <is>
          <t>Documentar API REST con ejemplos de código, endpoints y casos de uso</t>
        </is>
      </c>
    </row>
    <row r="19">
      <c r="B19" s="21" t="inlineStr">
        <is>
          <t>Caso 8: Content Strategy</t>
        </is>
      </c>
      <c r="C19" s="22" t="inlineStr">
        <is>
          <t>Desarrollar estrategia de contenido trimestral basada en brand guidelines y objetivos de negocio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2">
      <c r="B2" s="27" t="inlineStr">
        <is>
          <t>Dashboard de Métricas</t>
        </is>
      </c>
    </row>
    <row r="5">
      <c r="B5" s="28" t="inlineStr">
        <is>
          <t>Total Contenidos</t>
        </is>
      </c>
      <c r="C5" s="29">
        <f>SUM('Métricas y Análisis'!C6:C11)</f>
        <v/>
      </c>
    </row>
    <row r="7">
      <c r="B7" s="28" t="inlineStr">
        <is>
          <t>Promedio Engagement</t>
        </is>
      </c>
      <c r="C7" s="29">
        <f>AVERAGE('Métricas y Análisis'!D6:D11)</f>
        <v/>
      </c>
    </row>
    <row r="9">
      <c r="B9" s="28" t="inlineStr">
        <is>
          <t>Total Alcance</t>
        </is>
      </c>
      <c r="C9" s="29">
        <f>SUM('Métricas y Análisis'!E6:E11)</f>
        <v/>
      </c>
    </row>
    <row r="11">
      <c r="B11" s="28" t="inlineStr">
        <is>
          <t>Total Conversiones</t>
        </is>
      </c>
      <c r="C11" s="29">
        <f>SUM('Métricas y Análisis'!F6:F11)</f>
        <v/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30" customWidth="1" min="4" max="4"/>
  </cols>
  <sheetData>
    <row r="2">
      <c r="B2" s="11" t="inlineStr">
        <is>
          <t>Checklist de Calidad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3" t="inlineStr">
        <is>
          <t>Item</t>
        </is>
      </c>
      <c r="C5" s="23" t="inlineStr">
        <is>
          <t>Estado</t>
        </is>
      </c>
      <c r="D5" s="23" t="inlineStr">
        <is>
          <t>Notas</t>
        </is>
      </c>
    </row>
    <row r="6">
      <c r="B6" s="15" t="inlineStr">
        <is>
          <t>El contenido comienza con un gancho o resumen</t>
        </is>
      </c>
      <c r="C6" s="15" t="inlineStr">
        <is>
          <t>Pendiente</t>
        </is>
      </c>
      <c r="D6" s="15" t="inlineStr"/>
    </row>
    <row r="7">
      <c r="B7" s="17" t="inlineStr">
        <is>
          <t>No hay encabezados al inicio del contenido</t>
        </is>
      </c>
      <c r="C7" s="17" t="inlineStr">
        <is>
          <t>Pendiente</t>
        </is>
      </c>
      <c r="D7" s="17" t="inlineStr"/>
    </row>
    <row r="8">
      <c r="B8" s="15" t="inlineStr">
        <is>
          <t>Secciones principales usan encabezados nivel 2</t>
        </is>
      </c>
      <c r="C8" s="15" t="inlineStr">
        <is>
          <t>Pendiente</t>
        </is>
      </c>
      <c r="D8" s="15" t="inlineStr"/>
    </row>
    <row r="9">
      <c r="B9" s="17" t="inlineStr">
        <is>
          <t>Listas son planas, sin anidamiento</t>
        </is>
      </c>
      <c r="C9" s="17" t="inlineStr">
        <is>
          <t>Pendiente</t>
        </is>
      </c>
      <c r="D9" s="17" t="inlineStr"/>
    </row>
    <row r="10">
      <c r="B10" s="15" t="inlineStr">
        <is>
          <t>Tablas usadas para comparaciones</t>
        </is>
      </c>
      <c r="C10" s="15" t="inlineStr">
        <is>
          <t>Pendiente</t>
        </is>
      </c>
      <c r="D10" s="15" t="inlineStr"/>
    </row>
    <row r="11">
      <c r="B11" s="17" t="inlineStr">
        <is>
          <t>Citas incluidas correctamente</t>
        </is>
      </c>
      <c r="C11" s="17" t="inlineStr">
        <is>
          <t>Pendiente</t>
        </is>
      </c>
      <c r="D11" s="17" t="inlineStr"/>
    </row>
    <row r="12">
      <c r="B12" s="15" t="inlineStr">
        <is>
          <t>Expresiones matemáticas en LaTeX</t>
        </is>
      </c>
      <c r="C12" s="15" t="inlineStr">
        <is>
          <t>Pendiente</t>
        </is>
      </c>
      <c r="D12" s="15" t="inlineStr"/>
    </row>
    <row r="13">
      <c r="B13" s="17" t="inlineStr">
        <is>
          <t>Fuentes citadas con formato correcto</t>
        </is>
      </c>
      <c r="C13" s="17" t="inlineStr">
        <is>
          <t>Pendiente</t>
        </is>
      </c>
      <c r="D13" s="17" t="inlineStr"/>
    </row>
    <row r="14">
      <c r="B14" s="15" t="inlineStr">
        <is>
          <t>No hay lenguaje de moralización</t>
        </is>
      </c>
      <c r="C14" s="15" t="inlineStr">
        <is>
          <t>Pendiente</t>
        </is>
      </c>
      <c r="D14" s="15" t="inlineStr"/>
    </row>
    <row r="15">
      <c r="B15" s="17" t="inlineStr">
        <is>
          <t>No hay contenido con derechos de autor</t>
        </is>
      </c>
      <c r="C15" s="17" t="inlineStr">
        <is>
          <t>Pendiente</t>
        </is>
      </c>
      <c r="D15" s="17" t="inlineStr"/>
    </row>
    <row r="16">
      <c r="B16" s="15" t="inlineStr">
        <is>
          <t>No hay emojis en el cuerpo</t>
        </is>
      </c>
      <c r="C16" s="15" t="inlineStr">
        <is>
          <t>Pendiente</t>
        </is>
      </c>
      <c r="D16" s="15" t="inlineStr"/>
    </row>
    <row r="17">
      <c r="B17" s="17" t="inlineStr">
        <is>
          <t>Contenido termina con CTA o próximos pasos</t>
        </is>
      </c>
      <c r="C17" s="17" t="inlineStr">
        <is>
          <t>Pendiente</t>
        </is>
      </c>
      <c r="D17" s="17" t="inlineStr"/>
    </row>
    <row r="18">
      <c r="B18" s="15" t="inlineStr">
        <is>
          <t>Tono apropiado para audiencia objetivo</t>
        </is>
      </c>
      <c r="C18" s="15" t="inlineStr">
        <is>
          <t>Pendiente</t>
        </is>
      </c>
      <c r="D18" s="15" t="inlineStr"/>
    </row>
    <row r="19">
      <c r="B19" s="17" t="inlineStr">
        <is>
          <t>Optimizado para plataforma objetivo</t>
        </is>
      </c>
      <c r="C19" s="17" t="inlineStr">
        <is>
          <t>Pendiente</t>
        </is>
      </c>
      <c r="D19" s="17" t="inlineStr"/>
    </row>
    <row r="20">
      <c r="B20" s="15" t="inlineStr">
        <is>
          <t>Formato consistente en todo el documento</t>
        </is>
      </c>
      <c r="C20" s="15" t="inlineStr">
        <is>
          <t>Pendiente</t>
        </is>
      </c>
      <c r="D20" s="15" t="inlineStr"/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0" customWidth="1" min="4" max="4"/>
    <col width="15" customWidth="1" min="5" max="5"/>
    <col width="15" customWidth="1" min="6" max="6"/>
    <col width="20" customWidth="1" min="7" max="7"/>
  </cols>
  <sheetData>
    <row r="2">
      <c r="B2" s="11" t="inlineStr">
        <is>
          <t>Calendario Editorial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3" t="inlineStr">
        <is>
          <t>Fecha</t>
        </is>
      </c>
      <c r="C5" s="23" t="inlineStr">
        <is>
          <t>Tipo</t>
        </is>
      </c>
      <c r="D5" s="23" t="inlineStr">
        <is>
          <t>Título</t>
        </is>
      </c>
      <c r="E5" s="23" t="inlineStr">
        <is>
          <t>Plataforma</t>
        </is>
      </c>
      <c r="F5" s="23" t="inlineStr">
        <is>
          <t>Estado</t>
        </is>
      </c>
      <c r="G5" s="23" t="inlineStr">
        <is>
          <t>Autor</t>
        </is>
      </c>
      <c r="H5" s="23" t="inlineStr">
        <is>
          <t>Notas</t>
        </is>
      </c>
    </row>
    <row r="6">
      <c r="B6" s="15" t="inlineStr">
        <is>
          <t>2025-01-15</t>
        </is>
      </c>
      <c r="C6" s="15" t="inlineStr">
        <is>
          <t>Blog</t>
        </is>
      </c>
      <c r="D6" s="15" t="inlineStr">
        <is>
          <t>Tendencias Marketing 2025</t>
        </is>
      </c>
      <c r="E6" s="15" t="inlineStr">
        <is>
          <t>Website</t>
        </is>
      </c>
      <c r="F6" s="15" t="inlineStr">
        <is>
          <t>Publicado</t>
        </is>
      </c>
      <c r="G6" s="15" t="inlineStr">
        <is>
          <t>Ana García</t>
        </is>
      </c>
      <c r="H6" s="15" t="inlineStr">
        <is>
          <t>Alto engagement</t>
        </is>
      </c>
    </row>
    <row r="7">
      <c r="B7" s="17" t="inlineStr">
        <is>
          <t>2025-01-18</t>
        </is>
      </c>
      <c r="C7" s="17" t="inlineStr">
        <is>
          <t>Social Media</t>
        </is>
      </c>
      <c r="D7" s="17" t="inlineStr">
        <is>
          <t>Lanzamiento Producto X</t>
        </is>
      </c>
      <c r="E7" s="17" t="inlineStr">
        <is>
          <t>Instagram</t>
        </is>
      </c>
      <c r="F7" s="17" t="inlineStr">
        <is>
          <t>Programado</t>
        </is>
      </c>
      <c r="G7" s="17" t="inlineStr">
        <is>
          <t>Carlos López</t>
        </is>
      </c>
      <c r="H7" s="17" t="inlineStr">
        <is>
          <t>Incluir hashtags</t>
        </is>
      </c>
    </row>
    <row r="8">
      <c r="B8" s="15" t="inlineStr">
        <is>
          <t>2025-01-20</t>
        </is>
      </c>
      <c r="C8" s="15" t="inlineStr">
        <is>
          <t>Email</t>
        </is>
      </c>
      <c r="D8" s="15" t="inlineStr">
        <is>
          <t>Newsletter Semanal</t>
        </is>
      </c>
      <c r="E8" s="15" t="inlineStr">
        <is>
          <t>Email</t>
        </is>
      </c>
      <c r="F8" s="15" t="inlineStr">
        <is>
          <t>Borrador</t>
        </is>
      </c>
      <c r="G8" s="15" t="inlineStr">
        <is>
          <t>María Ruiz</t>
        </is>
      </c>
      <c r="H8" s="15" t="inlineStr">
        <is>
          <t>Revisar CTA</t>
        </is>
      </c>
    </row>
    <row r="9">
      <c r="B9" s="17" t="inlineStr">
        <is>
          <t>2025-01-22</t>
        </is>
      </c>
      <c r="C9" s="17" t="inlineStr">
        <is>
          <t>Blog</t>
        </is>
      </c>
      <c r="D9" s="17" t="inlineStr">
        <is>
          <t>Guía SEO Completa</t>
        </is>
      </c>
      <c r="E9" s="17" t="inlineStr">
        <is>
          <t>Website</t>
        </is>
      </c>
      <c r="F9" s="17" t="inlineStr">
        <is>
          <t>Revisión</t>
        </is>
      </c>
      <c r="G9" s="17" t="inlineStr">
        <is>
          <t>Ana García</t>
        </is>
      </c>
      <c r="H9" s="17" t="inlineStr">
        <is>
          <t>Optimizar keywords</t>
        </is>
      </c>
    </row>
    <row r="10">
      <c r="B10" s="15" t="inlineStr">
        <is>
          <t>2025-01-25</t>
        </is>
      </c>
      <c r="C10" s="15" t="inlineStr">
        <is>
          <t>Social Media</t>
        </is>
      </c>
      <c r="D10" s="15" t="inlineStr">
        <is>
          <t>Testimonial Cliente</t>
        </is>
      </c>
      <c r="E10" s="15" t="inlineStr">
        <is>
          <t>LinkedIn</t>
        </is>
      </c>
      <c r="F10" s="15" t="inlineStr">
        <is>
          <t>Programado</t>
        </is>
      </c>
      <c r="G10" s="15" t="inlineStr">
        <is>
          <t>Carlos López</t>
        </is>
      </c>
      <c r="H10" s="15" t="inlineStr">
        <is>
          <t>Incluir imagen</t>
        </is>
      </c>
    </row>
  </sheetData>
  <conditionalFormatting sqref="F6:F10">
    <cfRule type="expression" priority="1" dxfId="0" stopIfTrue="1">
      <formula>F6="Publicado"</formula>
    </cfRule>
    <cfRule type="expression" priority="2" dxfId="1" stopIfTrue="1">
      <formula>F6="Programado"</formula>
    </cfRule>
    <cfRule type="expression" priority="3" dxfId="2" stopIfTrue="1">
      <formula>F6="Borrador"</formula>
    </cfRule>
  </conditionalFormatting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2">
      <c r="B2" s="11" t="inlineStr">
        <is>
          <t>Análisis de Competencia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3" t="inlineStr">
        <is>
          <t>Competidor</t>
        </is>
      </c>
      <c r="C5" s="23" t="inlineStr">
        <is>
          <t>Frecuencia Post</t>
        </is>
      </c>
      <c r="D5" s="23" t="inlineStr">
        <is>
          <t>Engagement %</t>
        </is>
      </c>
      <c r="E5" s="23" t="inlineStr">
        <is>
          <t>Alcance Promedio</t>
        </is>
      </c>
      <c r="F5" s="23" t="inlineStr">
        <is>
          <t>Tipo Contenido</t>
        </is>
      </c>
      <c r="G5" s="23" t="inlineStr">
        <is>
          <t>Fortalezas</t>
        </is>
      </c>
    </row>
    <row r="6">
      <c r="B6" s="15" t="inlineStr">
        <is>
          <t>Competidor A</t>
        </is>
      </c>
      <c r="C6" s="15" t="inlineStr">
        <is>
          <t>Diario</t>
        </is>
      </c>
      <c r="D6" s="15" t="inlineStr">
        <is>
          <t>8.5%</t>
        </is>
      </c>
      <c r="E6" s="15" t="inlineStr">
        <is>
          <t>50K</t>
        </is>
      </c>
      <c r="F6" s="15" t="inlineStr">
        <is>
          <t>Educativo</t>
        </is>
      </c>
      <c r="G6" s="15" t="inlineStr">
        <is>
          <t>Contenido de calidad</t>
        </is>
      </c>
    </row>
    <row r="7">
      <c r="B7" s="17" t="inlineStr">
        <is>
          <t>Competidor B</t>
        </is>
      </c>
      <c r="C7" s="17" t="inlineStr">
        <is>
          <t>3x/semana</t>
        </is>
      </c>
      <c r="D7" s="17" t="inlineStr">
        <is>
          <t>6.2%</t>
        </is>
      </c>
      <c r="E7" s="17" t="inlineStr">
        <is>
          <t>35K</t>
        </is>
      </c>
      <c r="F7" s="17" t="inlineStr">
        <is>
          <t>Promocional</t>
        </is>
      </c>
      <c r="G7" s="17" t="inlineStr">
        <is>
          <t>Alta frecuencia</t>
        </is>
      </c>
    </row>
    <row r="8">
      <c r="B8" s="15" t="inlineStr">
        <is>
          <t>Competidor C</t>
        </is>
      </c>
      <c r="C8" s="15" t="inlineStr">
        <is>
          <t>2x/semana</t>
        </is>
      </c>
      <c r="D8" s="15" t="inlineStr">
        <is>
          <t>9.1%</t>
        </is>
      </c>
      <c r="E8" s="15" t="inlineStr">
        <is>
          <t>75K</t>
        </is>
      </c>
      <c r="F8" s="15" t="inlineStr">
        <is>
          <t>Mixto</t>
        </is>
      </c>
      <c r="G8" s="15" t="inlineStr">
        <is>
          <t>Alto engagement</t>
        </is>
      </c>
    </row>
    <row r="9">
      <c r="B9" s="17" t="inlineStr">
        <is>
          <t>Competidor D</t>
        </is>
      </c>
      <c r="C9" s="17" t="inlineStr">
        <is>
          <t>Diario</t>
        </is>
      </c>
      <c r="D9" s="17" t="inlineStr">
        <is>
          <t>5.8%</t>
        </is>
      </c>
      <c r="E9" s="17" t="inlineStr">
        <is>
          <t>28K</t>
        </is>
      </c>
      <c r="F9" s="17" t="inlineStr">
        <is>
          <t>Noticias</t>
        </is>
      </c>
      <c r="G9" s="17" t="inlineStr">
        <is>
          <t>Actualidad constante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11" t="inlineStr">
        <is>
          <t>Plantillas de Contenido</t>
        </is>
      </c>
    </row>
    <row r="3">
      <c r="B3" s="6" t="inlineStr">
        <is>
          <t>──────────────────────────────────────────────────</t>
        </is>
      </c>
    </row>
    <row r="5">
      <c r="B5" s="21" t="inlineStr">
        <is>
          <t>Blog Post</t>
        </is>
      </c>
      <c r="C5" s="30" t="inlineStr">
        <is>
          <t>Título atractivo
[Gancho inicial - 2-3 oraciones]
## Sección Principal
[Contenido detallado]
## Otra Sección
[Contenido]
[Conclusión con CTA]</t>
        </is>
      </c>
    </row>
    <row r="9">
      <c r="B9" s="21" t="inlineStr">
        <is>
          <t>Social Media</t>
        </is>
      </c>
      <c r="C9" s="30" t="inlineStr">
        <is>
          <t>[Gancho]
[Contenido principal]
[CTA]
#hashtag1 #hashtag2</t>
        </is>
      </c>
    </row>
    <row r="13">
      <c r="B13" s="21" t="inlineStr">
        <is>
          <t>Email</t>
        </is>
      </c>
      <c r="C13" s="30" t="inlineStr">
        <is>
          <t>Asunto: [Tema]
Hola [Nombre],
[Gancho]
[Cuerpo del mensaje]
[CTA]
Saludos,
[Firma]</t>
        </is>
      </c>
    </row>
    <row r="17">
      <c r="B17" s="21" t="inlineStr">
        <is>
          <t>Landing Page</t>
        </is>
      </c>
      <c r="C17" s="30" t="inlineStr">
        <is>
          <t>[Headline]
[Subheadline]
[Beneficios clave]
[Características]
[Testimonios]
[CTA principal]</t>
        </is>
      </c>
    </row>
  </sheetData>
  <pageMargins left="0.7" right="0.7" top="0.75" bottom="0.75" header="0.3" footer="0.3"/>
  <pageSetup orientation="portrait" paperSize="9"/>
  <headerFooter>
    <oddHeader>&amp;C&amp;F</oddHeader>
    <oddFooter>&amp;C&amp;P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2025-11-22T08:28:02Z</dcterms:created>
  <dcterms:modified xmlns:dcterms="http://purl.org/dc/terms/" xmlns:xsi="http://www.w3.org/2001/XMLSchema-instance" xsi:type="dcterms:W3CDTF">2025-11-22T08:28:02Z</dcterms:modified>
</cp:coreProperties>
</file>