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Model" sheetId="2" state="visible" r:id="rId2"/>
    <sheet xmlns:r="http://schemas.openxmlformats.org/officeDocument/2006/relationships" name="Visu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3" fontId="0" fillId="2" borderId="1" pivotButton="0" quotePrefix="0" xfId="0"/>
    <xf numFmtId="164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 Growth Projection (36 Months)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Model'!$B$5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Model'!$C$5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Model'!$D$5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Model'!$E$5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Model'!$F$5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Model'!$G$5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Model'!$H$5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Model'!$I$5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Model'!$J$5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Model'!$K$5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Model'!$L$5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Model'!$M$5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Model'!$N$5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Model'!$O$5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Model'!$P$5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Model'!$Q$5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Model'!$R$5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Model'!$S$5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Model'!$T$5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Model'!$U$5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Model'!$V$5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Model'!$W$5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Model'!$X$5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Model'!$Y$5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Model'!$Z$5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Model'!$AA$5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Model'!$AB$5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Model'!$AC$5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Model'!$AD$5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Model'!$AE$5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Model'!$AF$5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Model'!$AG$5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Model'!$AH$5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Model'!$AI$5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Model'!$AJ$5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Model'!$AK$5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EBITDA Evolution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'Monthly Model'!$B$9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'Monthly Model'!$C$9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'Monthly Model'!$D$9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'Monthly Model'!$E$9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val>
            <numRef>
              <f>'Monthly Model'!$F$9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val>
            <numRef>
              <f>'Monthly Model'!$G$9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val>
            <numRef>
              <f>'Monthly Model'!$H$9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val>
            <numRef>
              <f>'Monthly Model'!$I$9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val>
            <numRef>
              <f>'Monthly Model'!$J$9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val>
            <numRef>
              <f>'Monthly Model'!$K$9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val>
            <numRef>
              <f>'Monthly Model'!$L$9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val>
            <numRef>
              <f>'Monthly Model'!$M$9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val>
            <numRef>
              <f>'Monthly Model'!$N$9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val>
            <numRef>
              <f>'Monthly Model'!$O$9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val>
            <numRef>
              <f>'Monthly Model'!$P$9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val>
            <numRef>
              <f>'Monthly Model'!$Q$9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val>
            <numRef>
              <f>'Monthly Model'!$R$9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val>
            <numRef>
              <f>'Monthly Model'!$S$9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val>
            <numRef>
              <f>'Monthly Model'!$T$9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val>
            <numRef>
              <f>'Monthly Model'!$U$9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val>
            <numRef>
              <f>'Monthly Model'!$V$9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val>
            <numRef>
              <f>'Monthly Model'!$W$9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val>
            <numRef>
              <f>'Monthly Model'!$X$9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val>
            <numRef>
              <f>'Monthly Model'!$Y$9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val>
            <numRef>
              <f>'Monthly Model'!$Z$9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val>
            <numRef>
              <f>'Monthly Model'!$AA$9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val>
            <numRef>
              <f>'Monthly Model'!$AB$9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val>
            <numRef>
              <f>'Monthly Model'!$AC$9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val>
            <numRef>
              <f>'Monthly Model'!$AD$9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val>
            <numRef>
              <f>'Monthly Model'!$AE$9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val>
            <numRef>
              <f>'Monthly Model'!$AF$9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val>
            <numRef>
              <f>'Monthly Model'!$AG$9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val>
            <numRef>
              <f>'Monthly Model'!$AH$9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val>
            <numRef>
              <f>'Monthly Model'!$AI$9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val>
            <numRef>
              <f>'Monthly Model'!$AJ$9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val>
            <numRef>
              <f>'Monthly Model'!$AK$9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Starting Customers</t>
        </is>
      </c>
      <c r="B2" s="3" t="n">
        <v>500</v>
      </c>
      <c r="C2" s="2" t="inlineStr">
        <is>
          <t>Current active users</t>
        </is>
      </c>
    </row>
    <row r="3">
      <c r="A3" s="2" t="inlineStr">
        <is>
          <t>Monthly Growth Rate (Year 1)</t>
        </is>
      </c>
      <c r="B3" s="4" t="n">
        <v>0.2</v>
      </c>
      <c r="C3" s="2" t="inlineStr">
        <is>
          <t>20% MoM Growth</t>
        </is>
      </c>
    </row>
    <row r="4">
      <c r="A4" s="2" t="inlineStr">
        <is>
          <t>Monthly Growth Rate (Year 2)</t>
        </is>
      </c>
      <c r="B4" s="4" t="n">
        <v>0.15</v>
      </c>
      <c r="C4" s="2" t="inlineStr">
        <is>
          <t>15% MoM Growth</t>
        </is>
      </c>
    </row>
    <row r="5">
      <c r="A5" s="2" t="inlineStr">
        <is>
          <t>Monthly Growth Rate (Year 3)</t>
        </is>
      </c>
      <c r="B5" s="4" t="n">
        <v>0.1</v>
      </c>
      <c r="C5" s="2" t="inlineStr">
        <is>
          <t>10% MoM Growth</t>
        </is>
      </c>
    </row>
    <row r="6">
      <c r="A6" s="2" t="inlineStr">
        <is>
          <t>Churn Rate</t>
        </is>
      </c>
      <c r="B6" s="4" t="n">
        <v>0.05</v>
      </c>
      <c r="C6" s="2" t="inlineStr">
        <is>
          <t>Monthly Churn</t>
        </is>
      </c>
    </row>
    <row r="7">
      <c r="A7" s="2" t="inlineStr">
        <is>
          <t>ARPU (Average Rev Per User)</t>
        </is>
      </c>
      <c r="B7" s="3" t="n">
        <v>29</v>
      </c>
      <c r="C7" s="2" t="inlineStr">
        <is>
          <t>Weighted Avg Price</t>
        </is>
      </c>
    </row>
    <row r="8">
      <c r="A8" s="2" t="inlineStr">
        <is>
          <t>CAC</t>
        </is>
      </c>
      <c r="B8" s="3" t="n">
        <v>150</v>
      </c>
      <c r="C8" s="2" t="inlineStr">
        <is>
          <t>Cost per Acq</t>
        </is>
      </c>
    </row>
    <row r="9">
      <c r="A9" s="2" t="inlineStr">
        <is>
          <t>Gross Margin</t>
        </is>
      </c>
      <c r="B9" s="4" t="n">
        <v>0.85</v>
      </c>
      <c r="C9" s="2" t="inlineStr">
        <is>
          <t>SaaS Margin</t>
        </is>
      </c>
    </row>
    <row r="10">
      <c r="A10" s="2" t="inlineStr">
        <is>
          <t>Fixed Costs (Monthly)</t>
        </is>
      </c>
      <c r="B10" s="3" t="n">
        <v>50000</v>
      </c>
      <c r="C10" s="2" t="inlineStr">
        <is>
          <t>Salaries, Rent, Server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9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Month 1</t>
        </is>
      </c>
      <c r="C1" s="1" t="inlineStr">
        <is>
          <t>Month 2</t>
        </is>
      </c>
      <c r="D1" s="1" t="inlineStr">
        <is>
          <t>Month 3</t>
        </is>
      </c>
      <c r="E1" s="1" t="inlineStr">
        <is>
          <t>Month 4</t>
        </is>
      </c>
      <c r="F1" s="1" t="inlineStr">
        <is>
          <t>Month 5</t>
        </is>
      </c>
      <c r="G1" s="1" t="inlineStr">
        <is>
          <t>Month 6</t>
        </is>
      </c>
      <c r="H1" s="1" t="inlineStr">
        <is>
          <t>Month 7</t>
        </is>
      </c>
      <c r="I1" s="1" t="inlineStr">
        <is>
          <t>Month 8</t>
        </is>
      </c>
      <c r="J1" s="1" t="inlineStr">
        <is>
          <t>Month 9</t>
        </is>
      </c>
      <c r="K1" s="1" t="inlineStr">
        <is>
          <t>Month 10</t>
        </is>
      </c>
      <c r="L1" s="1" t="inlineStr">
        <is>
          <t>Month 11</t>
        </is>
      </c>
      <c r="M1" s="1" t="inlineStr">
        <is>
          <t>Month 12</t>
        </is>
      </c>
      <c r="N1" s="1" t="inlineStr">
        <is>
          <t>Month 13</t>
        </is>
      </c>
      <c r="O1" s="1" t="inlineStr">
        <is>
          <t>Month 14</t>
        </is>
      </c>
      <c r="P1" s="1" t="inlineStr">
        <is>
          <t>Month 15</t>
        </is>
      </c>
      <c r="Q1" s="1" t="inlineStr">
        <is>
          <t>Month 16</t>
        </is>
      </c>
      <c r="R1" s="1" t="inlineStr">
        <is>
          <t>Month 17</t>
        </is>
      </c>
      <c r="S1" s="1" t="inlineStr">
        <is>
          <t>Month 18</t>
        </is>
      </c>
      <c r="T1" s="1" t="inlineStr">
        <is>
          <t>Month 19</t>
        </is>
      </c>
      <c r="U1" s="1" t="inlineStr">
        <is>
          <t>Month 20</t>
        </is>
      </c>
      <c r="V1" s="1" t="inlineStr">
        <is>
          <t>Month 21</t>
        </is>
      </c>
      <c r="W1" s="1" t="inlineStr">
        <is>
          <t>Month 22</t>
        </is>
      </c>
      <c r="X1" s="1" t="inlineStr">
        <is>
          <t>Month 23</t>
        </is>
      </c>
      <c r="Y1" s="1" t="inlineStr">
        <is>
          <t>Month 24</t>
        </is>
      </c>
      <c r="Z1" s="1" t="inlineStr">
        <is>
          <t>Month 25</t>
        </is>
      </c>
      <c r="AA1" s="1" t="inlineStr">
        <is>
          <t>Month 26</t>
        </is>
      </c>
      <c r="AB1" s="1" t="inlineStr">
        <is>
          <t>Month 27</t>
        </is>
      </c>
      <c r="AC1" s="1" t="inlineStr">
        <is>
          <t>Month 28</t>
        </is>
      </c>
      <c r="AD1" s="1" t="inlineStr">
        <is>
          <t>Month 29</t>
        </is>
      </c>
      <c r="AE1" s="1" t="inlineStr">
        <is>
          <t>Month 30</t>
        </is>
      </c>
      <c r="AF1" s="1" t="inlineStr">
        <is>
          <t>Month 31</t>
        </is>
      </c>
      <c r="AG1" s="1" t="inlineStr">
        <is>
          <t>Month 32</t>
        </is>
      </c>
      <c r="AH1" s="1" t="inlineStr">
        <is>
          <t>Month 33</t>
        </is>
      </c>
      <c r="AI1" s="1" t="inlineStr">
        <is>
          <t>Month 34</t>
        </is>
      </c>
      <c r="AJ1" s="1" t="inlineStr">
        <is>
          <t>Month 35</t>
        </is>
      </c>
      <c r="AK1" s="1" t="inlineStr">
        <is>
          <t>Month 36</t>
        </is>
      </c>
    </row>
    <row r="2">
      <c r="A2" s="2" t="inlineStr">
        <is>
          <t>Total Customers</t>
        </is>
      </c>
      <c r="B2" s="2">
        <f>Assumptions!B2</f>
        <v/>
      </c>
      <c r="C2" s="2">
        <f>B2+C3-C4</f>
        <v/>
      </c>
      <c r="D2" s="2">
        <f>C2+D3-D4</f>
        <v/>
      </c>
      <c r="E2" s="2">
        <f>D2+E3-E4</f>
        <v/>
      </c>
      <c r="F2" s="2">
        <f>E2+F3-F4</f>
        <v/>
      </c>
      <c r="G2" s="2">
        <f>F2+G3-G4</f>
        <v/>
      </c>
      <c r="H2" s="2">
        <f>G2+H3-H4</f>
        <v/>
      </c>
      <c r="I2" s="2">
        <f>H2+I3-I4</f>
        <v/>
      </c>
      <c r="J2" s="2">
        <f>I2+J3-J4</f>
        <v/>
      </c>
      <c r="K2" s="2">
        <f>J2+K3-K4</f>
        <v/>
      </c>
      <c r="L2" s="2">
        <f>K2+L3-L4</f>
        <v/>
      </c>
      <c r="M2" s="2">
        <f>L2+M3-M4</f>
        <v/>
      </c>
      <c r="N2" s="2">
        <f>M2+N3-N4</f>
        <v/>
      </c>
      <c r="O2" s="2">
        <f>N2+O3-O4</f>
        <v/>
      </c>
      <c r="P2" s="2">
        <f>O2+P3-P4</f>
        <v/>
      </c>
      <c r="Q2" s="2">
        <f>P2+Q3-Q4</f>
        <v/>
      </c>
      <c r="R2" s="2">
        <f>Q2+R3-R4</f>
        <v/>
      </c>
      <c r="S2" s="2">
        <f>R2+S3-S4</f>
        <v/>
      </c>
      <c r="T2" s="2">
        <f>S2+T3-T4</f>
        <v/>
      </c>
      <c r="U2" s="2">
        <f>T2+U3-U4</f>
        <v/>
      </c>
      <c r="V2" s="2">
        <f>U2+V3-V4</f>
        <v/>
      </c>
      <c r="W2" s="2">
        <f>V2+W3-W4</f>
        <v/>
      </c>
      <c r="X2" s="2">
        <f>W2+X3-X4</f>
        <v/>
      </c>
      <c r="Y2" s="2">
        <f>X2+Y3-Y4</f>
        <v/>
      </c>
      <c r="Z2" s="2">
        <f>Y2+Z3-Z4</f>
        <v/>
      </c>
      <c r="AA2" s="2">
        <f>Z2+AA3-AA4</f>
        <v/>
      </c>
      <c r="AB2" s="2">
        <f>AA2+AB3-AB4</f>
        <v/>
      </c>
      <c r="AC2" s="2">
        <f>AB2+AC3-AC4</f>
        <v/>
      </c>
      <c r="AD2" s="2">
        <f>AC2+AD3-AD4</f>
        <v/>
      </c>
      <c r="AE2" s="2">
        <f>AD2+AE3-AE4</f>
        <v/>
      </c>
      <c r="AF2" s="2">
        <f>AE2+AF3-AF4</f>
        <v/>
      </c>
      <c r="AG2" s="2">
        <f>AF2+AG3-AG4</f>
        <v/>
      </c>
      <c r="AH2" s="2">
        <f>AG2+AH3-AH4</f>
        <v/>
      </c>
      <c r="AI2" s="2">
        <f>AH2+AI3-AI4</f>
        <v/>
      </c>
      <c r="AJ2" s="2">
        <f>AI2+AJ3-AJ4</f>
        <v/>
      </c>
      <c r="AK2" s="2">
        <f>AJ2+AK3-AK4</f>
        <v/>
      </c>
    </row>
    <row r="3">
      <c r="A3" s="2" t="inlineStr">
        <is>
          <t>New Customers</t>
        </is>
      </c>
      <c r="B3" s="2" t="n"/>
      <c r="C3" s="2">
        <f>B2*Assumptions!B3</f>
        <v/>
      </c>
      <c r="D3" s="2">
        <f>C2*Assumptions!B3</f>
        <v/>
      </c>
      <c r="E3" s="2">
        <f>D2*Assumptions!B3</f>
        <v/>
      </c>
      <c r="F3" s="2">
        <f>E2*Assumptions!B3</f>
        <v/>
      </c>
      <c r="G3" s="2">
        <f>F2*Assumptions!B3</f>
        <v/>
      </c>
      <c r="H3" s="2">
        <f>G2*Assumptions!B3</f>
        <v/>
      </c>
      <c r="I3" s="2">
        <f>H2*Assumptions!B3</f>
        <v/>
      </c>
      <c r="J3" s="2">
        <f>I2*Assumptions!B3</f>
        <v/>
      </c>
      <c r="K3" s="2">
        <f>J2*Assumptions!B3</f>
        <v/>
      </c>
      <c r="L3" s="2">
        <f>K2*Assumptions!B3</f>
        <v/>
      </c>
      <c r="M3" s="2">
        <f>L2*Assumptions!B3</f>
        <v/>
      </c>
      <c r="N3" s="2">
        <f>M2*Assumptions!B4</f>
        <v/>
      </c>
      <c r="O3" s="2">
        <f>N2*Assumptions!B4</f>
        <v/>
      </c>
      <c r="P3" s="2">
        <f>O2*Assumptions!B4</f>
        <v/>
      </c>
      <c r="Q3" s="2">
        <f>P2*Assumptions!B4</f>
        <v/>
      </c>
      <c r="R3" s="2">
        <f>Q2*Assumptions!B4</f>
        <v/>
      </c>
      <c r="S3" s="2">
        <f>R2*Assumptions!B4</f>
        <v/>
      </c>
      <c r="T3" s="2">
        <f>S2*Assumptions!B4</f>
        <v/>
      </c>
      <c r="U3" s="2">
        <f>T2*Assumptions!B4</f>
        <v/>
      </c>
      <c r="V3" s="2">
        <f>U2*Assumptions!B4</f>
        <v/>
      </c>
      <c r="W3" s="2">
        <f>V2*Assumptions!B4</f>
        <v/>
      </c>
      <c r="X3" s="2">
        <f>W2*Assumptions!B4</f>
        <v/>
      </c>
      <c r="Y3" s="2">
        <f>X2*Assumptions!B4</f>
        <v/>
      </c>
      <c r="Z3" s="2">
        <f>Y2*Assumptions!B5</f>
        <v/>
      </c>
      <c r="AA3" s="2">
        <f>Z2*Assumptions!B5</f>
        <v/>
      </c>
      <c r="AB3" s="2">
        <f>AA2*Assumptions!B5</f>
        <v/>
      </c>
      <c r="AC3" s="2">
        <f>AB2*Assumptions!B5</f>
        <v/>
      </c>
      <c r="AD3" s="2">
        <f>AC2*Assumptions!B5</f>
        <v/>
      </c>
      <c r="AE3" s="2">
        <f>AD2*Assumptions!B5</f>
        <v/>
      </c>
      <c r="AF3" s="2">
        <f>AE2*Assumptions!B5</f>
        <v/>
      </c>
      <c r="AG3" s="2">
        <f>AF2*Assumptions!B5</f>
        <v/>
      </c>
      <c r="AH3" s="2">
        <f>AG2*Assumptions!B5</f>
        <v/>
      </c>
      <c r="AI3" s="2">
        <f>AH2*Assumptions!B5</f>
        <v/>
      </c>
      <c r="AJ3" s="2">
        <f>AI2*Assumptions!B5</f>
        <v/>
      </c>
      <c r="AK3" s="2">
        <f>AJ2*Assumptions!B5</f>
        <v/>
      </c>
    </row>
    <row r="4">
      <c r="A4" s="2" t="inlineStr">
        <is>
          <t>Churned Customers</t>
        </is>
      </c>
      <c r="B4" s="2" t="n"/>
      <c r="C4" s="2">
        <f>B2*Assumptions!B6</f>
        <v/>
      </c>
      <c r="D4" s="2">
        <f>C2*Assumptions!B6</f>
        <v/>
      </c>
      <c r="E4" s="2">
        <f>D2*Assumptions!B6</f>
        <v/>
      </c>
      <c r="F4" s="2">
        <f>E2*Assumptions!B6</f>
        <v/>
      </c>
      <c r="G4" s="2">
        <f>F2*Assumptions!B6</f>
        <v/>
      </c>
      <c r="H4" s="2">
        <f>G2*Assumptions!B6</f>
        <v/>
      </c>
      <c r="I4" s="2">
        <f>H2*Assumptions!B6</f>
        <v/>
      </c>
      <c r="J4" s="2">
        <f>I2*Assumptions!B6</f>
        <v/>
      </c>
      <c r="K4" s="2">
        <f>J2*Assumptions!B6</f>
        <v/>
      </c>
      <c r="L4" s="2">
        <f>K2*Assumptions!B6</f>
        <v/>
      </c>
      <c r="M4" s="2">
        <f>L2*Assumptions!B6</f>
        <v/>
      </c>
      <c r="N4" s="2">
        <f>M2*Assumptions!B6</f>
        <v/>
      </c>
      <c r="O4" s="2">
        <f>N2*Assumptions!B6</f>
        <v/>
      </c>
      <c r="P4" s="2">
        <f>O2*Assumptions!B6</f>
        <v/>
      </c>
      <c r="Q4" s="2">
        <f>P2*Assumptions!B6</f>
        <v/>
      </c>
      <c r="R4" s="2">
        <f>Q2*Assumptions!B6</f>
        <v/>
      </c>
      <c r="S4" s="2">
        <f>R2*Assumptions!B6</f>
        <v/>
      </c>
      <c r="T4" s="2">
        <f>S2*Assumptions!B6</f>
        <v/>
      </c>
      <c r="U4" s="2">
        <f>T2*Assumptions!B6</f>
        <v/>
      </c>
      <c r="V4" s="2">
        <f>U2*Assumptions!B6</f>
        <v/>
      </c>
      <c r="W4" s="2">
        <f>V2*Assumptions!B6</f>
        <v/>
      </c>
      <c r="X4" s="2">
        <f>W2*Assumptions!B6</f>
        <v/>
      </c>
      <c r="Y4" s="2">
        <f>X2*Assumptions!B6</f>
        <v/>
      </c>
      <c r="Z4" s="2">
        <f>Y2*Assumptions!B6</f>
        <v/>
      </c>
      <c r="AA4" s="2">
        <f>Z2*Assumptions!B6</f>
        <v/>
      </c>
      <c r="AB4" s="2">
        <f>AA2*Assumptions!B6</f>
        <v/>
      </c>
      <c r="AC4" s="2">
        <f>AB2*Assumptions!B6</f>
        <v/>
      </c>
      <c r="AD4" s="2">
        <f>AC2*Assumptions!B6</f>
        <v/>
      </c>
      <c r="AE4" s="2">
        <f>AD2*Assumptions!B6</f>
        <v/>
      </c>
      <c r="AF4" s="2">
        <f>AE2*Assumptions!B6</f>
        <v/>
      </c>
      <c r="AG4" s="2">
        <f>AF2*Assumptions!B6</f>
        <v/>
      </c>
      <c r="AH4" s="2">
        <f>AG2*Assumptions!B6</f>
        <v/>
      </c>
      <c r="AI4" s="2">
        <f>AH2*Assumptions!B6</f>
        <v/>
      </c>
      <c r="AJ4" s="2">
        <f>AI2*Assumptions!B6</f>
        <v/>
      </c>
      <c r="AK4" s="2">
        <f>AJ2*Assumptions!B6</f>
        <v/>
      </c>
    </row>
    <row r="5">
      <c r="A5" s="2" t="inlineStr">
        <is>
          <t>Revenue (MRR)</t>
        </is>
      </c>
      <c r="B5" s="2">
        <f>B2*Assumptions!B7</f>
        <v/>
      </c>
      <c r="C5" s="2">
        <f>C2*Assumptions!B7</f>
        <v/>
      </c>
      <c r="D5" s="2">
        <f>D2*Assumptions!B7</f>
        <v/>
      </c>
      <c r="E5" s="2">
        <f>E2*Assumptions!B7</f>
        <v/>
      </c>
      <c r="F5" s="2">
        <f>F2*Assumptions!B7</f>
        <v/>
      </c>
      <c r="G5" s="2">
        <f>G2*Assumptions!B7</f>
        <v/>
      </c>
      <c r="H5" s="2">
        <f>H2*Assumptions!B7</f>
        <v/>
      </c>
      <c r="I5" s="2">
        <f>I2*Assumptions!B7</f>
        <v/>
      </c>
      <c r="J5" s="2">
        <f>J2*Assumptions!B7</f>
        <v/>
      </c>
      <c r="K5" s="2">
        <f>K2*Assumptions!B7</f>
        <v/>
      </c>
      <c r="L5" s="2">
        <f>L2*Assumptions!B7</f>
        <v/>
      </c>
      <c r="M5" s="2">
        <f>M2*Assumptions!B7</f>
        <v/>
      </c>
      <c r="N5" s="2">
        <f>N2*Assumptions!B7</f>
        <v/>
      </c>
      <c r="O5" s="2">
        <f>O2*Assumptions!B7</f>
        <v/>
      </c>
      <c r="P5" s="2">
        <f>P2*Assumptions!B7</f>
        <v/>
      </c>
      <c r="Q5" s="2">
        <f>Q2*Assumptions!B7</f>
        <v/>
      </c>
      <c r="R5" s="2">
        <f>R2*Assumptions!B7</f>
        <v/>
      </c>
      <c r="S5" s="2">
        <f>S2*Assumptions!B7</f>
        <v/>
      </c>
      <c r="T5" s="2">
        <f>T2*Assumptions!B7</f>
        <v/>
      </c>
      <c r="U5" s="2">
        <f>U2*Assumptions!B7</f>
        <v/>
      </c>
      <c r="V5" s="2">
        <f>V2*Assumptions!B7</f>
        <v/>
      </c>
      <c r="W5" s="2">
        <f>W2*Assumptions!B7</f>
        <v/>
      </c>
      <c r="X5" s="2">
        <f>X2*Assumptions!B7</f>
        <v/>
      </c>
      <c r="Y5" s="2">
        <f>Y2*Assumptions!B7</f>
        <v/>
      </c>
      <c r="Z5" s="2">
        <f>Z2*Assumptions!B7</f>
        <v/>
      </c>
      <c r="AA5" s="2">
        <f>AA2*Assumptions!B7</f>
        <v/>
      </c>
      <c r="AB5" s="2">
        <f>AB2*Assumptions!B7</f>
        <v/>
      </c>
      <c r="AC5" s="2">
        <f>AC2*Assumptions!B7</f>
        <v/>
      </c>
      <c r="AD5" s="2">
        <f>AD2*Assumptions!B7</f>
        <v/>
      </c>
      <c r="AE5" s="2">
        <f>AE2*Assumptions!B7</f>
        <v/>
      </c>
      <c r="AF5" s="2">
        <f>AF2*Assumptions!B7</f>
        <v/>
      </c>
      <c r="AG5" s="2">
        <f>AG2*Assumptions!B7</f>
        <v/>
      </c>
      <c r="AH5" s="2">
        <f>AH2*Assumptions!B7</f>
        <v/>
      </c>
      <c r="AI5" s="2">
        <f>AI2*Assumptions!B7</f>
        <v/>
      </c>
      <c r="AJ5" s="2">
        <f>AJ2*Assumptions!B7</f>
        <v/>
      </c>
      <c r="AK5" s="2">
        <f>AK2*Assumptions!B7</f>
        <v/>
      </c>
    </row>
    <row r="6">
      <c r="A6" s="2" t="inlineStr">
        <is>
          <t>COGS</t>
        </is>
      </c>
      <c r="B6" s="2">
        <f>B5*(1-Assumptions!B9)</f>
        <v/>
      </c>
      <c r="C6" s="2">
        <f>C5*(1-Assumptions!B9)</f>
        <v/>
      </c>
      <c r="D6" s="2">
        <f>D5*(1-Assumptions!B9)</f>
        <v/>
      </c>
      <c r="E6" s="2">
        <f>E5*(1-Assumptions!B9)</f>
        <v/>
      </c>
      <c r="F6" s="2">
        <f>F5*(1-Assumptions!B9)</f>
        <v/>
      </c>
      <c r="G6" s="2">
        <f>G5*(1-Assumptions!B9)</f>
        <v/>
      </c>
      <c r="H6" s="2">
        <f>H5*(1-Assumptions!B9)</f>
        <v/>
      </c>
      <c r="I6" s="2">
        <f>I5*(1-Assumptions!B9)</f>
        <v/>
      </c>
      <c r="J6" s="2">
        <f>J5*(1-Assumptions!B9)</f>
        <v/>
      </c>
      <c r="K6" s="2">
        <f>K5*(1-Assumptions!B9)</f>
        <v/>
      </c>
      <c r="L6" s="2">
        <f>L5*(1-Assumptions!B9)</f>
        <v/>
      </c>
      <c r="M6" s="2">
        <f>M5*(1-Assumptions!B9)</f>
        <v/>
      </c>
      <c r="N6" s="2">
        <f>N5*(1-Assumptions!B9)</f>
        <v/>
      </c>
      <c r="O6" s="2">
        <f>O5*(1-Assumptions!B9)</f>
        <v/>
      </c>
      <c r="P6" s="2">
        <f>P5*(1-Assumptions!B9)</f>
        <v/>
      </c>
      <c r="Q6" s="2">
        <f>Q5*(1-Assumptions!B9)</f>
        <v/>
      </c>
      <c r="R6" s="2">
        <f>R5*(1-Assumptions!B9)</f>
        <v/>
      </c>
      <c r="S6" s="2">
        <f>S5*(1-Assumptions!B9)</f>
        <v/>
      </c>
      <c r="T6" s="2">
        <f>T5*(1-Assumptions!B9)</f>
        <v/>
      </c>
      <c r="U6" s="2">
        <f>U5*(1-Assumptions!B9)</f>
        <v/>
      </c>
      <c r="V6" s="2">
        <f>V5*(1-Assumptions!B9)</f>
        <v/>
      </c>
      <c r="W6" s="2">
        <f>W5*(1-Assumptions!B9)</f>
        <v/>
      </c>
      <c r="X6" s="2">
        <f>X5*(1-Assumptions!B9)</f>
        <v/>
      </c>
      <c r="Y6" s="2">
        <f>Y5*(1-Assumptions!B9)</f>
        <v/>
      </c>
      <c r="Z6" s="2">
        <f>Z5*(1-Assumptions!B9)</f>
        <v/>
      </c>
      <c r="AA6" s="2">
        <f>AA5*(1-Assumptions!B9)</f>
        <v/>
      </c>
      <c r="AB6" s="2">
        <f>AB5*(1-Assumptions!B9)</f>
        <v/>
      </c>
      <c r="AC6" s="2">
        <f>AC5*(1-Assumptions!B9)</f>
        <v/>
      </c>
      <c r="AD6" s="2">
        <f>AD5*(1-Assumptions!B9)</f>
        <v/>
      </c>
      <c r="AE6" s="2">
        <f>AE5*(1-Assumptions!B9)</f>
        <v/>
      </c>
      <c r="AF6" s="2">
        <f>AF5*(1-Assumptions!B9)</f>
        <v/>
      </c>
      <c r="AG6" s="2">
        <f>AG5*(1-Assumptions!B9)</f>
        <v/>
      </c>
      <c r="AH6" s="2">
        <f>AH5*(1-Assumptions!B9)</f>
        <v/>
      </c>
      <c r="AI6" s="2">
        <f>AI5*(1-Assumptions!B9)</f>
        <v/>
      </c>
      <c r="AJ6" s="2">
        <f>AJ5*(1-Assumptions!B9)</f>
        <v/>
      </c>
      <c r="AK6" s="2">
        <f>AK5*(1-Assumptions!B9)</f>
        <v/>
      </c>
    </row>
    <row r="7">
      <c r="A7" s="2" t="inlineStr">
        <is>
          <t>Gross Profit</t>
        </is>
      </c>
      <c r="B7" s="2">
        <f>B5-B6</f>
        <v/>
      </c>
      <c r="C7" s="2">
        <f>C5-C6</f>
        <v/>
      </c>
      <c r="D7" s="2">
        <f>D5-D6</f>
        <v/>
      </c>
      <c r="E7" s="2">
        <f>E5-E6</f>
        <v/>
      </c>
      <c r="F7" s="2">
        <f>F5-F6</f>
        <v/>
      </c>
      <c r="G7" s="2">
        <f>G5-G6</f>
        <v/>
      </c>
      <c r="H7" s="2">
        <f>H5-H6</f>
        <v/>
      </c>
      <c r="I7" s="2">
        <f>I5-I6</f>
        <v/>
      </c>
      <c r="J7" s="2">
        <f>J5-J6</f>
        <v/>
      </c>
      <c r="K7" s="2">
        <f>K5-K6</f>
        <v/>
      </c>
      <c r="L7" s="2">
        <f>L5-L6</f>
        <v/>
      </c>
      <c r="M7" s="2">
        <f>M5-M6</f>
        <v/>
      </c>
      <c r="N7" s="2">
        <f>N5-N6</f>
        <v/>
      </c>
      <c r="O7" s="2">
        <f>O5-O6</f>
        <v/>
      </c>
      <c r="P7" s="2">
        <f>P5-P6</f>
        <v/>
      </c>
      <c r="Q7" s="2">
        <f>Q5-Q6</f>
        <v/>
      </c>
      <c r="R7" s="2">
        <f>R5-R6</f>
        <v/>
      </c>
      <c r="S7" s="2">
        <f>S5-S6</f>
        <v/>
      </c>
      <c r="T7" s="2">
        <f>T5-T6</f>
        <v/>
      </c>
      <c r="U7" s="2">
        <f>U5-U6</f>
        <v/>
      </c>
      <c r="V7" s="2">
        <f>V5-V6</f>
        <v/>
      </c>
      <c r="W7" s="2">
        <f>W5-W6</f>
        <v/>
      </c>
      <c r="X7" s="2">
        <f>X5-X6</f>
        <v/>
      </c>
      <c r="Y7" s="2">
        <f>Y5-Y6</f>
        <v/>
      </c>
      <c r="Z7" s="2">
        <f>Z5-Z6</f>
        <v/>
      </c>
      <c r="AA7" s="2">
        <f>AA5-AA6</f>
        <v/>
      </c>
      <c r="AB7" s="2">
        <f>AB5-AB6</f>
        <v/>
      </c>
      <c r="AC7" s="2">
        <f>AC5-AC6</f>
        <v/>
      </c>
      <c r="AD7" s="2">
        <f>AD5-AD6</f>
        <v/>
      </c>
      <c r="AE7" s="2">
        <f>AE5-AE6</f>
        <v/>
      </c>
      <c r="AF7" s="2">
        <f>AF5-AF6</f>
        <v/>
      </c>
      <c r="AG7" s="2">
        <f>AG5-AG6</f>
        <v/>
      </c>
      <c r="AH7" s="2">
        <f>AH5-AH6</f>
        <v/>
      </c>
      <c r="AI7" s="2">
        <f>AI5-AI6</f>
        <v/>
      </c>
      <c r="AJ7" s="2">
        <f>AJ5-AJ6</f>
        <v/>
      </c>
      <c r="AK7" s="2">
        <f>AK5-AK6</f>
        <v/>
      </c>
    </row>
    <row r="8">
      <c r="A8" s="2" t="inlineStr">
        <is>
          <t>OpEx</t>
        </is>
      </c>
      <c r="B8" s="2">
        <f>Assumptions!B10</f>
        <v/>
      </c>
      <c r="C8" s="2">
        <f>B8*1.02</f>
        <v/>
      </c>
      <c r="D8" s="2">
        <f>C8*1.02</f>
        <v/>
      </c>
      <c r="E8" s="2">
        <f>D8*1.02</f>
        <v/>
      </c>
      <c r="F8" s="2">
        <f>E8*1.02</f>
        <v/>
      </c>
      <c r="G8" s="2">
        <f>F8*1.02</f>
        <v/>
      </c>
      <c r="H8" s="2">
        <f>G8*1.02</f>
        <v/>
      </c>
      <c r="I8" s="2">
        <f>H8*1.02</f>
        <v/>
      </c>
      <c r="J8" s="2">
        <f>I8*1.02</f>
        <v/>
      </c>
      <c r="K8" s="2">
        <f>J8*1.02</f>
        <v/>
      </c>
      <c r="L8" s="2">
        <f>K8*1.02</f>
        <v/>
      </c>
      <c r="M8" s="2">
        <f>L8*1.02</f>
        <v/>
      </c>
      <c r="N8" s="2">
        <f>M8*1.02</f>
        <v/>
      </c>
      <c r="O8" s="2">
        <f>N8*1.02</f>
        <v/>
      </c>
      <c r="P8" s="2">
        <f>O8*1.02</f>
        <v/>
      </c>
      <c r="Q8" s="2">
        <f>P8*1.02</f>
        <v/>
      </c>
      <c r="R8" s="2">
        <f>Q8*1.02</f>
        <v/>
      </c>
      <c r="S8" s="2">
        <f>R8*1.02</f>
        <v/>
      </c>
      <c r="T8" s="2">
        <f>S8*1.02</f>
        <v/>
      </c>
      <c r="U8" s="2">
        <f>T8*1.02</f>
        <v/>
      </c>
      <c r="V8" s="2">
        <f>U8*1.02</f>
        <v/>
      </c>
      <c r="W8" s="2">
        <f>V8*1.02</f>
        <v/>
      </c>
      <c r="X8" s="2">
        <f>W8*1.02</f>
        <v/>
      </c>
      <c r="Y8" s="2">
        <f>X8*1.02</f>
        <v/>
      </c>
      <c r="Z8" s="2">
        <f>Y8*1.02</f>
        <v/>
      </c>
      <c r="AA8" s="2">
        <f>Z8*1.02</f>
        <v/>
      </c>
      <c r="AB8" s="2">
        <f>AA8*1.02</f>
        <v/>
      </c>
      <c r="AC8" s="2">
        <f>AB8*1.02</f>
        <v/>
      </c>
      <c r="AD8" s="2">
        <f>AC8*1.02</f>
        <v/>
      </c>
      <c r="AE8" s="2">
        <f>AD8*1.02</f>
        <v/>
      </c>
      <c r="AF8" s="2">
        <f>AE8*1.02</f>
        <v/>
      </c>
      <c r="AG8" s="2">
        <f>AF8*1.02</f>
        <v/>
      </c>
      <c r="AH8" s="2">
        <f>AG8*1.02</f>
        <v/>
      </c>
      <c r="AI8" s="2">
        <f>AH8*1.02</f>
        <v/>
      </c>
      <c r="AJ8" s="2">
        <f>AI8*1.02</f>
        <v/>
      </c>
      <c r="AK8" s="2">
        <f>AJ8*1.02</f>
        <v/>
      </c>
    </row>
    <row r="9">
      <c r="A9" s="2" t="inlineStr">
        <is>
          <t>EBITDA</t>
        </is>
      </c>
      <c r="B9" s="2">
        <f>B7-B8</f>
        <v/>
      </c>
      <c r="C9" s="2">
        <f>C7-C8</f>
        <v/>
      </c>
      <c r="D9" s="2">
        <f>D7-D8</f>
        <v/>
      </c>
      <c r="E9" s="2">
        <f>E7-E8</f>
        <v/>
      </c>
      <c r="F9" s="2">
        <f>F7-F8</f>
        <v/>
      </c>
      <c r="G9" s="2">
        <f>G7-G8</f>
        <v/>
      </c>
      <c r="H9" s="2">
        <f>H7-H8</f>
        <v/>
      </c>
      <c r="I9" s="2">
        <f>I7-I8</f>
        <v/>
      </c>
      <c r="J9" s="2">
        <f>J7-J8</f>
        <v/>
      </c>
      <c r="K9" s="2">
        <f>K7-K8</f>
        <v/>
      </c>
      <c r="L9" s="2">
        <f>L7-L8</f>
        <v/>
      </c>
      <c r="M9" s="2">
        <f>M7-M8</f>
        <v/>
      </c>
      <c r="N9" s="2">
        <f>N7-N8</f>
        <v/>
      </c>
      <c r="O9" s="2">
        <f>O7-O8</f>
        <v/>
      </c>
      <c r="P9" s="2">
        <f>P7-P8</f>
        <v/>
      </c>
      <c r="Q9" s="2">
        <f>Q7-Q8</f>
        <v/>
      </c>
      <c r="R9" s="2">
        <f>R7-R8</f>
        <v/>
      </c>
      <c r="S9" s="2">
        <f>S7-S8</f>
        <v/>
      </c>
      <c r="T9" s="2">
        <f>T7-T8</f>
        <v/>
      </c>
      <c r="U9" s="2">
        <f>U7-U8</f>
        <v/>
      </c>
      <c r="V9" s="2">
        <f>V7-V8</f>
        <v/>
      </c>
      <c r="W9" s="2">
        <f>W7-W8</f>
        <v/>
      </c>
      <c r="X9" s="2">
        <f>X7-X8</f>
        <v/>
      </c>
      <c r="Y9" s="2">
        <f>Y7-Y8</f>
        <v/>
      </c>
      <c r="Z9" s="2">
        <f>Z7-Z8</f>
        <v/>
      </c>
      <c r="AA9" s="2">
        <f>AA7-AA8</f>
        <v/>
      </c>
      <c r="AB9" s="2">
        <f>AB7-AB8</f>
        <v/>
      </c>
      <c r="AC9" s="2">
        <f>AC7-AC8</f>
        <v/>
      </c>
      <c r="AD9" s="2">
        <f>AD7-AD8</f>
        <v/>
      </c>
      <c r="AE9" s="2">
        <f>AE7-AE8</f>
        <v/>
      </c>
      <c r="AF9" s="2">
        <f>AF7-AF8</f>
        <v/>
      </c>
      <c r="AG9" s="2">
        <f>AG7-AG8</f>
        <v/>
      </c>
      <c r="AH9" s="2">
        <f>AH7-AH8</f>
        <v/>
      </c>
      <c r="AI9" s="2">
        <f>AI7-AI8</f>
        <v/>
      </c>
      <c r="AJ9" s="2">
        <f>AJ7-AJ8</f>
        <v/>
      </c>
      <c r="AK9" s="2">
        <f>AK7-AK8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2025-11-23T22:02:17Z</dcterms:created>
  <dcterms:modified xmlns:dcterms="http://purl.org/dc/terms/" xmlns:xsi="http://www.w3.org/2001/XMLSchema-instance" xsi:type="dcterms:W3CDTF">2025-11-23T22:02:17Z</dcterms:modified>
</cp:coreProperties>
</file>