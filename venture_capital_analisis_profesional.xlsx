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Rondas de Financiamiento" sheetId="2" state="visible" r:id="rId2"/>
    <sheet xmlns:r="http://schemas.openxmlformats.org/officeDocument/2006/relationships" name="Proyecciones Financieras" sheetId="3" state="visible" r:id="rId3"/>
    <sheet xmlns:r="http://schemas.openxmlformats.org/officeDocument/2006/relationships" name="Análisis de Riesgo" sheetId="4" state="visible" r:id="rId4"/>
    <sheet xmlns:r="http://schemas.openxmlformats.org/officeDocument/2006/relationships" name="Estructura de Fondos" sheetId="5" state="visible" r:id="rId5"/>
    <sheet xmlns:r="http://schemas.openxmlformats.org/officeDocument/2006/relationships" name="Retorno de Inversió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x"/>
  </numFmts>
  <fonts count="7">
    <font>
      <name val="Calibri"/>
      <family val="2"/>
      <color theme="1"/>
      <sz val="11"/>
      <scheme val="minor"/>
    </font>
    <font>
      <b val="1"/>
      <color rgb="001e3a8a"/>
      <sz val="16"/>
    </font>
    <font>
      <i val="1"/>
      <sz val="10"/>
    </font>
    <font>
      <b val="1"/>
      <color rgb="001e3a8a"/>
      <sz val="14"/>
    </font>
    <font>
      <b val="1"/>
      <color rgb="00ffffff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9fa"/>
        <bgColor rgb="00f8f9fa"/>
      </patternFill>
    </fill>
    <fill>
      <patternFill patternType="solid">
        <fgColor rgb="0010b981"/>
        <bgColor rgb="0010b981"/>
      </patternFill>
    </fill>
    <fill>
      <patternFill patternType="solid">
        <fgColor rgb="00cbd5e1"/>
        <bgColor rgb="00cbd5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left" wrapText="1"/>
    </xf>
    <xf numFmtId="0" fontId="0" fillId="3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16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9" fontId="0" fillId="3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6" fillId="5" borderId="1" applyAlignment="1" pivotButton="0" quotePrefix="0" xfId="0">
      <alignment horizontal="left"/>
    </xf>
    <xf numFmtId="164" fontId="6" fillId="5" borderId="1" applyAlignment="1" pivotButton="0" quotePrefix="0" xfId="0">
      <alignment horizontal="center"/>
    </xf>
    <xf numFmtId="165" fontId="6" fillId="5" borderId="1" applyAlignment="1" pivotButton="0" quotePrefix="0" xfId="0">
      <alignment horizontal="center"/>
    </xf>
    <xf numFmtId="10" fontId="6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Evolución de Valuación por Ronda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'Rondas de Financiamiento'!$J$4:$J$9</f>
            </numRef>
          </cat>
          <val>
            <numRef>
              <f>'Rondas de Financiamiento'!$K$3:$K$9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Ronda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Valuación ($M)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Crecimiento de ARR - Proyección 5 Años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'Proyecciones Financieras'!B3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'Proyecciones Financieras'!$B$4</f>
            </numRef>
          </cat>
          <val>
            <numRef>
              <f>'Proyecciones Financieras'!$C$3:$B$3</f>
            </numRef>
          </val>
        </ser>
        <ser>
          <idx val="1"/>
          <order val="1"/>
          <tx>
            <strRef>
              <f>'Proyecciones Financieras'!C3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'Proyecciones Financieras'!$B$4</f>
            </numRef>
          </cat>
          <val>
            <numRef>
              <f>'Proyecciones Financieras'!$D$3:$C$3</f>
            </numRef>
          </val>
        </ser>
        <ser>
          <idx val="2"/>
          <order val="2"/>
          <tx>
            <strRef>
              <f>'Proyecciones Financieras'!D3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'Proyecciones Financieras'!$B$4</f>
            </numRef>
          </cat>
          <val>
            <numRef>
              <f>'Proyecciones Financieras'!$E$3:$D$3</f>
            </numRef>
          </val>
        </ser>
        <ser>
          <idx val="3"/>
          <order val="3"/>
          <tx>
            <strRef>
              <f>'Proyecciones Financieras'!E3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'Proyecciones Financieras'!$B$4</f>
            </numRef>
          </cat>
          <val>
            <numRef>
              <f>'Proyecciones Financieras'!$F$3:$E$3</f>
            </numRef>
          </val>
        </ser>
        <ser>
          <idx val="4"/>
          <order val="4"/>
          <tx>
            <strRef>
              <f>'Proyecciones Financieras'!F3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'Proyecciones Financieras'!$B$4</f>
            </numRef>
          </cat>
          <val>
            <numRef>
              <f>'Proyecciones Financieras'!$G$3:$F$3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ARR ($M)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Fondos por Tamaño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'Estructura de Fondos'!$A$4:$A$6</f>
            </numRef>
          </cat>
          <val>
            <numRef>
              <f>'Estructura de Fondos'!$B$4:$B$6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2" customWidth="1" min="4" max="4"/>
    <col width="15" customWidth="1" min="5" max="5"/>
    <col width="30" customWidth="1" min="6" max="6"/>
  </cols>
  <sheetData>
    <row r="1" ht="35" customHeight="1">
      <c r="A1" s="1" t="inlineStr">
        <is>
          <t>VENTURE CAPITAL - ANÁLISIS DE INVERSIÓN</t>
        </is>
      </c>
    </row>
    <row r="2" ht="20" customHeight="1">
      <c r="A2" s="2" t="inlineStr">
        <is>
          <t>Documento Profesional - Generado: 23/11/2025 15:42</t>
        </is>
      </c>
    </row>
    <row r="4" ht="25" customHeight="1">
      <c r="A4" s="3" t="inlineStr">
        <is>
          <t>MÉTRICAS CLAVE DE INVERSIÓN</t>
        </is>
      </c>
    </row>
    <row r="5">
      <c r="A5" s="4" t="inlineStr">
        <is>
          <t>Métrica</t>
        </is>
      </c>
      <c r="B5" s="4" t="inlineStr">
        <is>
          <t>Valor</t>
        </is>
      </c>
      <c r="C5" s="4" t="inlineStr">
        <is>
          <t>Objetivo</t>
        </is>
      </c>
      <c r="D5" s="4" t="inlineStr">
        <is>
          <t>Estado</t>
        </is>
      </c>
      <c r="E5" s="4" t="inlineStr">
        <is>
          <t>Tendencia</t>
        </is>
      </c>
      <c r="F5" s="4" t="inlineStr">
        <is>
          <t>Notas</t>
        </is>
      </c>
    </row>
    <row r="6">
      <c r="A6" s="5" t="inlineStr">
        <is>
          <t>TAM (Total Addressable Market)</t>
        </is>
      </c>
      <c r="B6" s="6" t="inlineStr">
        <is>
          <t>$13.1B</t>
        </is>
      </c>
      <c r="C6" s="6" t="inlineStr">
        <is>
          <t>$15B+</t>
        </is>
      </c>
      <c r="D6" s="7">
        <f>IF(C6&gt;=B6,"✓","⚠")</f>
        <v/>
      </c>
      <c r="E6" s="6" t="inlineStr">
        <is>
          <t>↑ Crecimiento</t>
        </is>
      </c>
      <c r="F6" s="6" t="inlineStr">
        <is>
          <t>Mercado en expansión</t>
        </is>
      </c>
    </row>
    <row r="7">
      <c r="A7" s="8" t="inlineStr">
        <is>
          <t>SAM (Serviceable Addressable Market)</t>
        </is>
      </c>
      <c r="B7" s="9" t="inlineStr">
        <is>
          <t>$2.52B</t>
        </is>
      </c>
      <c r="C7" s="9" t="inlineStr">
        <is>
          <t>$3B+</t>
        </is>
      </c>
      <c r="D7" s="7">
        <f>IF(C7&gt;=B7,"✓","⚠")</f>
        <v/>
      </c>
      <c r="E7" s="9" t="inlineStr">
        <is>
          <t>↑ Crecimiento</t>
        </is>
      </c>
      <c r="F7" s="9" t="inlineStr">
        <is>
          <t>19% del TAM</t>
        </is>
      </c>
    </row>
    <row r="8">
      <c r="A8" s="5" t="inlineStr">
        <is>
          <t>SOM (Serviceable Obtainable Market)</t>
        </is>
      </c>
      <c r="B8" s="6" t="inlineStr">
        <is>
          <t>$126M</t>
        </is>
      </c>
      <c r="C8" s="6" t="inlineStr">
        <is>
          <t>$200M+</t>
        </is>
      </c>
      <c r="D8" s="7">
        <f>IF(C8&gt;=B8,"✓","⚠")</f>
        <v/>
      </c>
      <c r="E8" s="6" t="inlineStr">
        <is>
          <t>↑ Crecimiento</t>
        </is>
      </c>
      <c r="F8" s="6" t="inlineStr">
        <is>
          <t>5% del SAM</t>
        </is>
      </c>
    </row>
    <row r="9">
      <c r="A9" s="8" t="inlineStr">
        <is>
          <t>CAGR del Mercado</t>
        </is>
      </c>
      <c r="B9" s="9" t="inlineStr">
        <is>
          <t>25.1%</t>
        </is>
      </c>
      <c r="C9" s="9" t="inlineStr">
        <is>
          <t>20%+</t>
        </is>
      </c>
      <c r="D9" s="7">
        <f>IF(C9&gt;=B9,"✓","⚠")</f>
        <v/>
      </c>
      <c r="E9" s="9" t="inlineStr">
        <is>
          <t>↑ Excelente</t>
        </is>
      </c>
      <c r="F9" s="9" t="inlineStr">
        <is>
          <t>Crecimiento acelerado</t>
        </is>
      </c>
    </row>
    <row r="10">
      <c r="A10" s="5" t="inlineStr">
        <is>
          <t>Valuación Actual</t>
        </is>
      </c>
      <c r="B10" s="6" t="inlineStr">
        <is>
          <t>$50M</t>
        </is>
      </c>
      <c r="C10" s="6" t="inlineStr">
        <is>
          <t>$100M+</t>
        </is>
      </c>
      <c r="D10" s="7">
        <f>IF(C10&gt;=B10,"✓","⚠")</f>
        <v/>
      </c>
      <c r="E10" s="6" t="inlineStr">
        <is>
          <t>↑ En aumento</t>
        </is>
      </c>
      <c r="F10" s="6" t="inlineStr">
        <is>
          <t>Pre-Series B</t>
        </is>
      </c>
    </row>
    <row r="11">
      <c r="A11" s="8" t="inlineStr">
        <is>
          <t>ARR Actual</t>
        </is>
      </c>
      <c r="B11" s="9" t="inlineStr">
        <is>
          <t>$3.36M</t>
        </is>
      </c>
      <c r="C11" s="9" t="inlineStr">
        <is>
          <t>$10M+</t>
        </is>
      </c>
      <c r="D11" s="7">
        <f>IF(C11&gt;=B11,"✓","⚠")</f>
        <v/>
      </c>
      <c r="E11" s="9" t="inlineStr">
        <is>
          <t>↑ Crecimiento</t>
        </is>
      </c>
      <c r="F11" s="9" t="inlineStr">
        <is>
          <t>93% CAGR proyectado</t>
        </is>
      </c>
    </row>
    <row r="12">
      <c r="A12" s="5" t="inlineStr">
        <is>
          <t>LTV/CAC Ratio</t>
        </is>
      </c>
      <c r="B12" s="6" t="inlineStr">
        <is>
          <t>271:1</t>
        </is>
      </c>
      <c r="C12" s="6" t="inlineStr">
        <is>
          <t>200:1+</t>
        </is>
      </c>
      <c r="D12" s="7">
        <f>IF(C12&gt;=B12,"✓","⚠")</f>
        <v/>
      </c>
      <c r="E12" s="6" t="inlineStr">
        <is>
          <t>↑ Excelente</t>
        </is>
      </c>
      <c r="F12" s="6" t="inlineStr">
        <is>
          <t>Unit economics fuertes</t>
        </is>
      </c>
    </row>
    <row r="13">
      <c r="A13" s="8" t="inlineStr">
        <is>
          <t>Gross Margin</t>
        </is>
      </c>
      <c r="B13" s="9" t="inlineStr">
        <is>
          <t>80%</t>
        </is>
      </c>
      <c r="C13" s="9" t="inlineStr">
        <is>
          <t>75%+</t>
        </is>
      </c>
      <c r="D13" s="7">
        <f>IF(C13&gt;=B13,"✓","⚠")</f>
        <v/>
      </c>
      <c r="E13" s="9" t="inlineStr">
        <is>
          <t>↑ Estable</t>
        </is>
      </c>
      <c r="F13" s="9" t="inlineStr">
        <is>
          <t>Margen saludable</t>
        </is>
      </c>
    </row>
    <row r="14">
      <c r="A14" s="5" t="inlineStr">
        <is>
          <t>Burn Multiple</t>
        </is>
      </c>
      <c r="B14" s="6" t="inlineStr">
        <is>
          <t>3.26</t>
        </is>
      </c>
      <c r="C14" s="6" t="inlineStr">
        <is>
          <t>&lt;2.0</t>
        </is>
      </c>
      <c r="D14" s="7">
        <f>IF(C14&lt;=B14,"✓","⚠")</f>
        <v/>
      </c>
      <c r="E14" s="6" t="inlineStr">
        <is>
          <t>↓ Mejorando</t>
        </is>
      </c>
      <c r="F14" s="6" t="inlineStr">
        <is>
          <t>Optimización en curso</t>
        </is>
      </c>
    </row>
    <row r="15">
      <c r="A15" s="8" t="inlineStr">
        <is>
          <t>Rule of 40</t>
        </is>
      </c>
      <c r="B15" s="9" t="inlineStr">
        <is>
          <t>135%</t>
        </is>
      </c>
      <c r="C15" s="9" t="inlineStr">
        <is>
          <t>40%+</t>
        </is>
      </c>
      <c r="D15" s="7">
        <f>IF(C15&gt;=B15,"✓","⚠")</f>
        <v/>
      </c>
      <c r="E15" s="9" t="inlineStr">
        <is>
          <t>↑ Excelente</t>
        </is>
      </c>
      <c r="F15" s="9" t="inlineStr">
        <is>
          <t>Crecimiento + Rentabilidad</t>
        </is>
      </c>
    </row>
  </sheetData>
  <mergeCells count="2">
    <mergeCell ref="A2:F2"/>
    <mergeCell ref="A1:F1"/>
  </mergeCells>
  <pageMargins left="0.5" right="0.5" top="0.75" bottom="0.75" header="0.5" footer="0.5"/>
  <pageSetup orientation="landscape" paperSize="9" fitToHeight="0" fitToWidth="1"/>
  <headerFooter>
    <oddHeader>&amp;C&amp;F</oddHeader>
    <oddFooter>&amp;CPágina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0" t="inlineStr">
        <is>
          <t>RONDAS DE FINANCIAMIENTO - ROADMAP COMPLETO</t>
        </is>
      </c>
    </row>
    <row r="3">
      <c r="A3" s="4" t="inlineStr">
        <is>
          <t>Ronda</t>
        </is>
      </c>
      <c r="B3" s="4" t="inlineStr">
        <is>
          <t>Monto</t>
        </is>
      </c>
      <c r="C3" s="4" t="inlineStr">
        <is>
          <t>Valuación Pre</t>
        </is>
      </c>
      <c r="D3" s="4" t="inlineStr">
        <is>
          <t>Valuación Post</t>
        </is>
      </c>
      <c r="E3" s="4" t="inlineStr">
        <is>
          <t>Dilución</t>
        </is>
      </c>
      <c r="F3" s="4" t="inlineStr">
        <is>
          <t>Timeline</t>
        </is>
      </c>
      <c r="G3" s="4" t="inlineStr">
        <is>
          <t>Uso de Fondos</t>
        </is>
      </c>
      <c r="H3" s="4" t="inlineStr">
        <is>
          <t>Hitos Clave</t>
        </is>
      </c>
    </row>
    <row r="4">
      <c r="A4" s="5" t="inlineStr">
        <is>
          <t>Pre-Seed</t>
        </is>
      </c>
      <c r="B4" s="6" t="inlineStr">
        <is>
          <t>$200K-$500K</t>
        </is>
      </c>
      <c r="C4" s="6" t="inlineStr">
        <is>
          <t>$1M-$5M</t>
        </is>
      </c>
      <c r="D4" s="6">
        <f>C4+B4</f>
        <v/>
      </c>
      <c r="E4" s="6" t="inlineStr">
        <is>
          <t>10-20%</t>
        </is>
      </c>
      <c r="F4" s="6" t="inlineStr">
        <is>
          <t>Año 0-1</t>
        </is>
      </c>
      <c r="G4" s="6" t="inlineStr">
        <is>
          <t>60% Producto, 20% Equipo, 20% Ops</t>
        </is>
      </c>
      <c r="H4" s="6" t="inlineStr">
        <is>
          <t>MVP, Product-Market Fit</t>
        </is>
      </c>
      <c r="J4" t="inlineStr">
        <is>
          <t>Pre-Seed</t>
        </is>
      </c>
      <c r="K4" t="n">
        <v>3</v>
      </c>
    </row>
    <row r="5">
      <c r="A5" s="8" t="inlineStr">
        <is>
          <t>Seed</t>
        </is>
      </c>
      <c r="B5" s="9" t="inlineStr">
        <is>
          <t>$500K-$2M</t>
        </is>
      </c>
      <c r="C5" s="9" t="inlineStr">
        <is>
          <t>$5M-$15M</t>
        </is>
      </c>
      <c r="D5" s="9">
        <f>C5+B5</f>
        <v/>
      </c>
      <c r="E5" s="9" t="inlineStr">
        <is>
          <t>20-30%</t>
        </is>
      </c>
      <c r="F5" s="9" t="inlineStr">
        <is>
          <t>Año 1-2</t>
        </is>
      </c>
      <c r="G5" s="9" t="inlineStr">
        <is>
          <t>50% Producto, 30% Equipo, 20% Ops</t>
        </is>
      </c>
      <c r="H5" s="9" t="inlineStr">
        <is>
          <t>$1M ARR, Tracción temprana</t>
        </is>
      </c>
      <c r="J5" t="inlineStr">
        <is>
          <t>Seed</t>
        </is>
      </c>
      <c r="K5" t="n">
        <v>10</v>
      </c>
    </row>
    <row r="6">
      <c r="A6" s="5" t="inlineStr">
        <is>
          <t>Series A</t>
        </is>
      </c>
      <c r="B6" s="6" t="inlineStr">
        <is>
          <t>$2M-$10M</t>
        </is>
      </c>
      <c r="C6" s="6" t="inlineStr">
        <is>
          <t>$15M-$50M</t>
        </is>
      </c>
      <c r="D6" s="6">
        <f>C6+B6</f>
        <v/>
      </c>
      <c r="E6" s="6" t="inlineStr">
        <is>
          <t>20-30%</t>
        </is>
      </c>
      <c r="F6" s="6" t="inlineStr">
        <is>
          <t>Año 2-3</t>
        </is>
      </c>
      <c r="G6" s="6" t="inlineStr">
        <is>
          <t>40% Growth, 40% Equipo, 20% Producto</t>
        </is>
      </c>
      <c r="H6" s="6" t="inlineStr">
        <is>
          <t>$5M ARR, Product-Market Fit</t>
        </is>
      </c>
      <c r="J6" t="inlineStr">
        <is>
          <t>Series A</t>
        </is>
      </c>
      <c r="K6" t="n">
        <v>32.5</v>
      </c>
    </row>
    <row r="7">
      <c r="A7" s="8" t="inlineStr">
        <is>
          <t>Series B</t>
        </is>
      </c>
      <c r="B7" s="9" t="inlineStr">
        <is>
          <t>$10M-$30M</t>
        </is>
      </c>
      <c r="C7" s="9" t="inlineStr">
        <is>
          <t>$50M-$200M</t>
        </is>
      </c>
      <c r="D7" s="9">
        <f>C7+B7</f>
        <v/>
      </c>
      <c r="E7" s="9" t="inlineStr">
        <is>
          <t>15-25%</t>
        </is>
      </c>
      <c r="F7" s="9" t="inlineStr">
        <is>
          <t>Año 3-4</t>
        </is>
      </c>
      <c r="G7" s="9" t="inlineStr">
        <is>
          <t>50% Growth, 30% Equipo, 20% Ops</t>
        </is>
      </c>
      <c r="H7" s="9" t="inlineStr">
        <is>
          <t>$25M ARR, Expansión mercado</t>
        </is>
      </c>
      <c r="J7" t="inlineStr">
        <is>
          <t>Series B</t>
        </is>
      </c>
      <c r="K7" t="n">
        <v>125</v>
      </c>
    </row>
    <row r="8">
      <c r="A8" s="5" t="inlineStr">
        <is>
          <t>Series C+</t>
        </is>
      </c>
      <c r="B8" s="6" t="inlineStr">
        <is>
          <t>$30M-$100M+</t>
        </is>
      </c>
      <c r="C8" s="6" t="inlineStr">
        <is>
          <t>$200M-$1B+</t>
        </is>
      </c>
      <c r="D8" s="6">
        <f>C8+B8</f>
        <v/>
      </c>
      <c r="E8" s="6" t="inlineStr">
        <is>
          <t>15-25%</t>
        </is>
      </c>
      <c r="F8" s="6" t="inlineStr">
        <is>
          <t>Año 4-5</t>
        </is>
      </c>
      <c r="G8" s="6" t="inlineStr">
        <is>
          <t>60% Growth, 30% Equipo, 10% Ops</t>
        </is>
      </c>
      <c r="H8" s="6" t="inlineStr">
        <is>
          <t>$100M ARR, Dominio mercado</t>
        </is>
      </c>
      <c r="J8" t="inlineStr">
        <is>
          <t>Series C+</t>
        </is>
      </c>
      <c r="K8" t="n">
        <v>600</v>
      </c>
    </row>
    <row r="9">
      <c r="A9" s="8" t="inlineStr">
        <is>
          <t>IPO/Exit</t>
        </is>
      </c>
      <c r="B9" s="9" t="inlineStr">
        <is>
          <t>$100M-$500M+</t>
        </is>
      </c>
      <c r="C9" s="9" t="inlineStr">
        <is>
          <t>$1B-$10B+</t>
        </is>
      </c>
      <c r="D9" s="9">
        <f>C9+B9</f>
        <v/>
      </c>
      <c r="E9" s="9" t="inlineStr">
        <is>
          <t>N/A</t>
        </is>
      </c>
      <c r="F9" s="9" t="inlineStr">
        <is>
          <t>Año 5-7</t>
        </is>
      </c>
      <c r="G9" s="9" t="inlineStr">
        <is>
          <t>Expansión global, Adquisiciones</t>
        </is>
      </c>
      <c r="H9" s="9" t="inlineStr">
        <is>
          <t>$200M+ ARR, Unicornio</t>
        </is>
      </c>
      <c r="J9" t="inlineStr">
        <is>
          <t>IPO</t>
        </is>
      </c>
      <c r="K9" t="n">
        <v>5000</v>
      </c>
    </row>
  </sheetData>
  <mergeCells count="1">
    <mergeCell ref="A1:H1"/>
  </mergeCells>
  <pageMargins left="0.5" right="0.5" top="0.75" bottom="0.75" header="0.5" footer="0.5"/>
  <pageSetup orientation="landscape" paperSize="9" fitToHeight="0" fitToWidth="1"/>
  <headerFooter>
    <oddHeader>&amp;C&amp;F</oddHeader>
    <oddFooter>&amp;CPágina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30" customHeight="1">
      <c r="A1" s="10" t="inlineStr">
        <is>
          <t>PROYECCIONES FINANCIERAS - 5 AÑOS</t>
        </is>
      </c>
    </row>
    <row r="3">
      <c r="A3" s="4" t="inlineStr">
        <is>
          <t>Métrica</t>
        </is>
      </c>
      <c r="B3" s="4" t="inlineStr">
        <is>
          <t>Año 1</t>
        </is>
      </c>
      <c r="C3" s="4" t="inlineStr">
        <is>
          <t>Año 2</t>
        </is>
      </c>
      <c r="D3" s="4" t="inlineStr">
        <is>
          <t>Año 3</t>
        </is>
      </c>
      <c r="E3" s="4" t="inlineStr">
        <is>
          <t>Año 4</t>
        </is>
      </c>
      <c r="F3" s="4" t="inlineStr">
        <is>
          <t>Año 5</t>
        </is>
      </c>
      <c r="G3" s="4" t="inlineStr">
        <is>
          <t>CAGR</t>
        </is>
      </c>
      <c r="H3" s="4" t="inlineStr">
        <is>
          <t>Tendencia</t>
        </is>
      </c>
      <c r="I3" s="4" t="inlineStr">
        <is>
          <t>Benchmark</t>
        </is>
      </c>
      <c r="J3" s="4" t="inlineStr">
        <is>
          <t>Estado</t>
        </is>
      </c>
    </row>
    <row r="4">
      <c r="A4" s="11" t="inlineStr">
        <is>
          <t>ARR (Annual Recurring Revenue)</t>
        </is>
      </c>
      <c r="B4" s="12" t="n">
        <v>3360000</v>
      </c>
      <c r="C4" s="12" t="n">
        <v>6000000</v>
      </c>
      <c r="D4" s="12" t="n">
        <v>12000000</v>
      </c>
      <c r="E4" s="12" t="n">
        <v>24000000</v>
      </c>
      <c r="F4" s="12" t="n">
        <v>60000000</v>
      </c>
      <c r="G4" s="13">
        <f>POWER(F4/B4,1/4)-1</f>
        <v/>
      </c>
      <c r="H4" s="13" t="inlineStr">
        <is>
          <t>↑</t>
        </is>
      </c>
      <c r="I4" s="13" t="inlineStr">
        <is>
          <t>$50M+</t>
        </is>
      </c>
      <c r="J4" s="13">
        <f>IF(F4&gt;=50000000,"✓","⚠")</f>
        <v/>
      </c>
    </row>
    <row r="5">
      <c r="A5" s="14" t="inlineStr">
        <is>
          <t>Ingresos Totales</t>
        </is>
      </c>
      <c r="B5" s="15" t="n">
        <v>4200000</v>
      </c>
      <c r="C5" s="15" t="n">
        <v>7500000</v>
      </c>
      <c r="D5" s="15" t="n">
        <v>15000000</v>
      </c>
      <c r="E5" s="15" t="n">
        <v>30000000</v>
      </c>
      <c r="F5" s="15" t="n">
        <v>75000000</v>
      </c>
      <c r="G5" s="16">
        <f>POWER(F5/B5,1/4)-1</f>
        <v/>
      </c>
      <c r="H5" s="16" t="inlineStr">
        <is>
          <t>↑</t>
        </is>
      </c>
      <c r="I5" s="16" t="inlineStr">
        <is>
          <t>$75M+</t>
        </is>
      </c>
      <c r="J5" s="16">
        <f>IF(F5&gt;=75000000,"✓","⚠")</f>
        <v/>
      </c>
    </row>
    <row r="6">
      <c r="A6" s="11" t="inlineStr">
        <is>
          <t>Clientes Totales</t>
        </is>
      </c>
      <c r="B6" s="12" t="n">
        <v>203</v>
      </c>
      <c r="C6" s="12" t="n">
        <v>400</v>
      </c>
      <c r="D6" s="12" t="n">
        <v>1200</v>
      </c>
      <c r="E6" s="12" t="n">
        <v>3000</v>
      </c>
      <c r="F6" s="12" t="n">
        <v>7500</v>
      </c>
      <c r="G6" s="13">
        <f>POWER(F6/B6,1/4)-1</f>
        <v/>
      </c>
      <c r="H6" s="13" t="inlineStr">
        <is>
          <t>↑</t>
        </is>
      </c>
      <c r="I6" s="13" t="inlineStr">
        <is>
          <t>5,000+</t>
        </is>
      </c>
      <c r="J6" s="13">
        <f>IF(F6&gt;=5000,"✓","⚠")</f>
        <v/>
      </c>
    </row>
    <row r="7">
      <c r="A7" s="14" t="inlineStr">
        <is>
          <t>CAC (Customer Acquisition Cost)</t>
        </is>
      </c>
      <c r="B7" s="15" t="n">
        <v>50</v>
      </c>
      <c r="C7" s="15" t="n">
        <v>45</v>
      </c>
      <c r="D7" s="15" t="n">
        <v>40</v>
      </c>
      <c r="E7" s="15" t="n">
        <v>35</v>
      </c>
      <c r="F7" s="15" t="n">
        <v>30</v>
      </c>
      <c r="G7" s="16">
        <f>POWER(F7/B7,1/4)-1</f>
        <v/>
      </c>
      <c r="H7" s="16" t="inlineStr">
        <is>
          <t>↓</t>
        </is>
      </c>
      <c r="I7" s="16" t="inlineStr">
        <is>
          <t>&lt;$50</t>
        </is>
      </c>
      <c r="J7" s="16">
        <f>IF(F7&lt;=50,"✓","⚠")</f>
        <v/>
      </c>
    </row>
    <row r="8">
      <c r="A8" s="11" t="inlineStr">
        <is>
          <t>LTV (Lifetime Value)</t>
        </is>
      </c>
      <c r="B8" s="12" t="n">
        <v>135500</v>
      </c>
      <c r="C8" s="12" t="n">
        <v>150000</v>
      </c>
      <c r="D8" s="12" t="n">
        <v>175000</v>
      </c>
      <c r="E8" s="12" t="n">
        <v>200000</v>
      </c>
      <c r="F8" s="12" t="n">
        <v>250000</v>
      </c>
      <c r="G8" s="13">
        <f>POWER(F8/B8,1/4)-1</f>
        <v/>
      </c>
      <c r="H8" s="13" t="inlineStr">
        <is>
          <t>↑</t>
        </is>
      </c>
      <c r="I8" s="13" t="inlineStr">
        <is>
          <t>$200K+</t>
        </is>
      </c>
      <c r="J8" s="13">
        <f>IF(F8&gt;=200000,"✓","⚠")</f>
        <v/>
      </c>
    </row>
    <row r="9">
      <c r="A9" s="14" t="inlineStr">
        <is>
          <t>LTV/CAC Ratio</t>
        </is>
      </c>
      <c r="B9" s="15" t="n">
        <v>2710</v>
      </c>
      <c r="C9" s="15" t="n">
        <v>3333</v>
      </c>
      <c r="D9" s="15" t="n">
        <v>4375</v>
      </c>
      <c r="E9" s="15" t="n">
        <v>5714</v>
      </c>
      <c r="F9" s="15" t="n">
        <v>8333</v>
      </c>
      <c r="G9" s="16">
        <f>POWER(F9/B9,1/4)-1</f>
        <v/>
      </c>
      <c r="H9" s="16" t="inlineStr">
        <is>
          <t>↑</t>
        </is>
      </c>
      <c r="I9" s="16" t="inlineStr">
        <is>
          <t>200:1+</t>
        </is>
      </c>
      <c r="J9" s="16">
        <f>IF(F9&gt;=20000,"✓","⚠")</f>
        <v/>
      </c>
    </row>
    <row r="10">
      <c r="A10" s="11" t="inlineStr">
        <is>
          <t>Gross Margin %</t>
        </is>
      </c>
      <c r="B10" s="17" t="n">
        <v>80</v>
      </c>
      <c r="C10" s="17" t="n">
        <v>82</v>
      </c>
      <c r="D10" s="17" t="n">
        <v>85</v>
      </c>
      <c r="E10" s="17" t="n">
        <v>87</v>
      </c>
      <c r="F10" s="17" t="n">
        <v>88</v>
      </c>
      <c r="G10" s="13">
        <f>POWER(F10/B10,1/4)-1</f>
        <v/>
      </c>
      <c r="H10" s="13" t="inlineStr">
        <is>
          <t>↑</t>
        </is>
      </c>
      <c r="I10" s="13" t="inlineStr">
        <is>
          <t>80%+</t>
        </is>
      </c>
      <c r="J10" s="13">
        <f>IF(F10&gt;=80,"✓","⚠")</f>
        <v/>
      </c>
    </row>
    <row r="11">
      <c r="A11" s="14" t="inlineStr">
        <is>
          <t>Burn Multiple</t>
        </is>
      </c>
      <c r="B11" s="15" t="n">
        <v>3.26</v>
      </c>
      <c r="C11" s="15" t="n">
        <v>2.5</v>
      </c>
      <c r="D11" s="15" t="n">
        <v>2</v>
      </c>
      <c r="E11" s="15" t="n">
        <v>1.5</v>
      </c>
      <c r="F11" s="15" t="n">
        <v>1</v>
      </c>
      <c r="G11" s="16">
        <f>POWER(F11/B11,1/4)-1</f>
        <v/>
      </c>
      <c r="H11" s="16" t="inlineStr">
        <is>
          <t>↓</t>
        </is>
      </c>
      <c r="I11" s="16" t="inlineStr">
        <is>
          <t>&lt;2.0</t>
        </is>
      </c>
      <c r="J11" s="16">
        <f>IF(F11&lt;=2,"✓","⚠")</f>
        <v/>
      </c>
    </row>
    <row r="12">
      <c r="A12" s="11" t="inlineStr">
        <is>
          <t>Rule of 40</t>
        </is>
      </c>
      <c r="B12" s="17" t="n">
        <v>135</v>
      </c>
      <c r="C12" s="17" t="n">
        <v>120</v>
      </c>
      <c r="D12" s="17" t="n">
        <v>110</v>
      </c>
      <c r="E12" s="17" t="n">
        <v>100</v>
      </c>
      <c r="F12" s="17" t="n">
        <v>95</v>
      </c>
      <c r="G12" s="13">
        <f>POWER(F12/B12,1/4)-1</f>
        <v/>
      </c>
      <c r="H12" s="13" t="inlineStr">
        <is>
          <t>↓</t>
        </is>
      </c>
      <c r="I12" s="13" t="inlineStr">
        <is>
          <t>40%+</t>
        </is>
      </c>
      <c r="J12" s="13">
        <f>IF(F12&gt;=40,"✓","⚠")</f>
        <v/>
      </c>
    </row>
    <row r="13">
      <c r="A13" s="14" t="inlineStr">
        <is>
          <t>Valuación (Post-Money)</t>
        </is>
      </c>
      <c r="B13" s="15" t="n">
        <v>50000000</v>
      </c>
      <c r="C13" s="15" t="n">
        <v>100000000</v>
      </c>
      <c r="D13" s="15" t="n">
        <v>200000000</v>
      </c>
      <c r="E13" s="15" t="n">
        <v>500000000</v>
      </c>
      <c r="F13" s="15" t="n">
        <v>1000000000</v>
      </c>
      <c r="G13" s="16">
        <f>POWER(F13/B13,1/4)-1</f>
        <v/>
      </c>
      <c r="H13" s="16" t="inlineStr">
        <is>
          <t>↑</t>
        </is>
      </c>
      <c r="I13" s="16" t="inlineStr">
        <is>
          <t>$1B+</t>
        </is>
      </c>
      <c r="J13" s="16">
        <f>IF(F13&gt;=1000000000,"✓","⚠")</f>
        <v/>
      </c>
    </row>
  </sheetData>
  <mergeCells count="1">
    <mergeCell ref="A1:J1"/>
  </mergeCells>
  <pageMargins left="0.5" right="0.5" top="0.75" bottom="0.75" header="0.5" footer="0.5"/>
  <pageSetup orientation="landscape" paperSize="9" fitToHeight="0" fitToWidth="1"/>
  <headerFooter>
    <oddHeader>&amp;C&amp;F</oddHeader>
    <oddFooter>&amp;CPágina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0" t="inlineStr">
        <is>
          <t>MATRIZ DE ANÁLISIS DE RIESGO - VENTURE CAPITAL</t>
        </is>
      </c>
    </row>
    <row r="3">
      <c r="A3" s="4" t="inlineStr">
        <is>
          <t>Riesgo</t>
        </is>
      </c>
      <c r="B3" s="4" t="inlineStr">
        <is>
          <t>Probabilidad</t>
        </is>
      </c>
      <c r="C3" s="4" t="inlineStr">
        <is>
          <t>Impacto</t>
        </is>
      </c>
      <c r="D3" s="4" t="inlineStr">
        <is>
          <t>Score</t>
        </is>
      </c>
      <c r="E3" s="4" t="inlineStr">
        <is>
          <t>Categoría</t>
        </is>
      </c>
      <c r="F3" s="4" t="inlineStr">
        <is>
          <t>Mitigación</t>
        </is>
      </c>
      <c r="G3" s="4" t="inlineStr">
        <is>
          <t>Inversión Req.</t>
        </is>
      </c>
      <c r="H3" s="4" t="inlineStr">
        <is>
          <t>Timeline</t>
        </is>
      </c>
    </row>
    <row r="4">
      <c r="A4" s="5" t="inlineStr">
        <is>
          <t>Dependencia de Modelos IA</t>
        </is>
      </c>
      <c r="B4" s="6" t="inlineStr">
        <is>
          <t>85%</t>
        </is>
      </c>
      <c r="C4" s="6" t="inlineStr">
        <is>
          <t>Alto</t>
        </is>
      </c>
      <c r="D4" s="6">
        <f>B4*C4/10</f>
        <v/>
      </c>
      <c r="E4" s="6" t="inlineStr">
        <is>
          <t>Tecnología</t>
        </is>
      </c>
      <c r="F4" s="6" t="inlineStr">
        <is>
          <t>Estrategia multi-proveedor</t>
        </is>
      </c>
      <c r="G4" s="6" t="inlineStr">
        <is>
          <t>$2M</t>
        </is>
      </c>
      <c r="H4" s="6" t="inlineStr">
        <is>
          <t>6 meses</t>
        </is>
      </c>
    </row>
    <row r="5">
      <c r="A5" s="8" t="inlineStr">
        <is>
          <t>Responsabilidad Legal</t>
        </is>
      </c>
      <c r="B5" s="9" t="inlineStr">
        <is>
          <t>60%</t>
        </is>
      </c>
      <c r="C5" s="9" t="inlineStr">
        <is>
          <t>Crítico</t>
        </is>
      </c>
      <c r="D5" s="9">
        <f>B5*C5/10</f>
        <v/>
      </c>
      <c r="E5" s="9" t="inlineStr">
        <is>
          <t>Legal</t>
        </is>
      </c>
      <c r="F5" s="9" t="inlineStr">
        <is>
          <t>Procesos de revisión legal</t>
        </is>
      </c>
      <c r="G5" s="9" t="inlineStr">
        <is>
          <t>$500K</t>
        </is>
      </c>
      <c r="H5" s="9" t="inlineStr">
        <is>
          <t>Inmediato</t>
        </is>
      </c>
    </row>
    <row r="6">
      <c r="A6" s="5" t="inlineStr">
        <is>
          <t>Saturación de Mercado</t>
        </is>
      </c>
      <c r="B6" s="6" t="inlineStr">
        <is>
          <t>70%</t>
        </is>
      </c>
      <c r="C6" s="6" t="inlineStr">
        <is>
          <t>Alto</t>
        </is>
      </c>
      <c r="D6" s="6">
        <f>B6*C6/10</f>
        <v/>
      </c>
      <c r="E6" s="6" t="inlineStr">
        <is>
          <t>Mercado</t>
        </is>
      </c>
      <c r="F6" s="6" t="inlineStr">
        <is>
          <t>Estrategia de especialización</t>
        </is>
      </c>
      <c r="G6" s="6" t="inlineStr">
        <is>
          <t>$1M</t>
        </is>
      </c>
      <c r="H6" s="6" t="inlineStr">
        <is>
          <t>Ongoing</t>
        </is>
      </c>
    </row>
    <row r="7">
      <c r="A7" s="8" t="inlineStr">
        <is>
          <t>Ventas Empresariales</t>
        </is>
      </c>
      <c r="B7" s="9" t="inlineStr">
        <is>
          <t>80%</t>
        </is>
      </c>
      <c r="C7" s="9" t="inlineStr">
        <is>
          <t>Medio</t>
        </is>
      </c>
      <c r="D7" s="9">
        <f>B7*C7/10</f>
        <v/>
      </c>
      <c r="E7" s="9" t="inlineStr">
        <is>
          <t>Ventas</t>
        </is>
      </c>
      <c r="F7" s="9" t="inlineStr">
        <is>
          <t>Certificación SOC 2</t>
        </is>
      </c>
      <c r="G7" s="9" t="inlineStr">
        <is>
          <t>$1.5M</t>
        </is>
      </c>
      <c r="H7" s="9" t="inlineStr">
        <is>
          <t>3 meses</t>
        </is>
      </c>
    </row>
    <row r="8">
      <c r="A8" s="5" t="inlineStr">
        <is>
          <t>Concentración de Clientes</t>
        </is>
      </c>
      <c r="B8" s="6" t="inlineStr">
        <is>
          <t>50%</t>
        </is>
      </c>
      <c r="C8" s="6" t="inlineStr">
        <is>
          <t>Medio</t>
        </is>
      </c>
      <c r="D8" s="6">
        <f>B8*C8/10</f>
        <v/>
      </c>
      <c r="E8" s="6" t="inlineStr">
        <is>
          <t>Negocio</t>
        </is>
      </c>
      <c r="F8" s="6" t="inlineStr">
        <is>
          <t>Diversificación</t>
        </is>
      </c>
      <c r="G8" s="6" t="inlineStr">
        <is>
          <t>$800K</t>
        </is>
      </c>
      <c r="H8" s="6" t="inlineStr">
        <is>
          <t>12 meses</t>
        </is>
      </c>
    </row>
    <row r="9">
      <c r="A9" s="8" t="inlineStr">
        <is>
          <t>Cambios Regulatorios</t>
        </is>
      </c>
      <c r="B9" s="9" t="inlineStr">
        <is>
          <t>40%</t>
        </is>
      </c>
      <c r="C9" s="9" t="inlineStr">
        <is>
          <t>Alto</t>
        </is>
      </c>
      <c r="D9" s="9">
        <f>B9*C9/10</f>
        <v/>
      </c>
      <c r="E9" s="9" t="inlineStr">
        <is>
          <t>Legal</t>
        </is>
      </c>
      <c r="F9" s="9" t="inlineStr">
        <is>
          <t>Framework de cumplimiento</t>
        </is>
      </c>
      <c r="G9" s="9" t="inlineStr">
        <is>
          <t>$500K</t>
        </is>
      </c>
      <c r="H9" s="9" t="inlineStr">
        <is>
          <t>6 meses</t>
        </is>
      </c>
    </row>
    <row r="10">
      <c r="A10" s="5" t="inlineStr">
        <is>
          <t>Escalabilidad Tecnológica</t>
        </is>
      </c>
      <c r="B10" s="6" t="inlineStr">
        <is>
          <t>60%</t>
        </is>
      </c>
      <c r="C10" s="6" t="inlineStr">
        <is>
          <t>Medio</t>
        </is>
      </c>
      <c r="D10" s="6">
        <f>B10*C10/10</f>
        <v/>
      </c>
      <c r="E10" s="6" t="inlineStr">
        <is>
          <t>Tecnología</t>
        </is>
      </c>
      <c r="F10" s="6" t="inlineStr">
        <is>
          <t>Optimización infraestructura</t>
        </is>
      </c>
      <c r="G10" s="6" t="inlineStr">
        <is>
          <t>$1M</t>
        </is>
      </c>
      <c r="H10" s="6" t="inlineStr">
        <is>
          <t>3 meses</t>
        </is>
      </c>
    </row>
    <row r="11">
      <c r="A11" s="8" t="inlineStr">
        <is>
          <t>Retención de Talento</t>
        </is>
      </c>
      <c r="B11" s="9" t="inlineStr">
        <is>
          <t>30%</t>
        </is>
      </c>
      <c r="C11" s="9" t="inlineStr">
        <is>
          <t>Alto</t>
        </is>
      </c>
      <c r="D11" s="9">
        <f>B11*C11/10</f>
        <v/>
      </c>
      <c r="E11" s="9" t="inlineStr">
        <is>
          <t>RRHH</t>
        </is>
      </c>
      <c r="F11" s="9" t="inlineStr">
        <is>
          <t>Programas de equity</t>
        </is>
      </c>
      <c r="G11" s="9" t="inlineStr">
        <is>
          <t>$500K</t>
        </is>
      </c>
      <c r="H11" s="9" t="inlineStr">
        <is>
          <t>Ongoing</t>
        </is>
      </c>
    </row>
  </sheetData>
  <mergeCells count="1">
    <mergeCell ref="A1:H1"/>
  </mergeCells>
  <pageMargins left="0.5" right="0.5" top="0.75" bottom="0.75" header="0.5" footer="0.5"/>
  <pageSetup orientation="landscape" paperSize="9" fitToHeight="0" fitToWidth="1"/>
  <headerFooter>
    <oddHeader>&amp;C&amp;F</oddHeader>
    <oddFooter>&amp;CPágina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0" t="inlineStr">
        <is>
          <t>ESTRUCTURA DE FONDOS DE INVERSIÓN</t>
        </is>
      </c>
    </row>
    <row r="3">
      <c r="A3" s="4" t="inlineStr">
        <is>
          <t>Fondo</t>
        </is>
      </c>
      <c r="B3" s="4" t="inlineStr">
        <is>
          <t>Tamaño</t>
        </is>
      </c>
      <c r="C3" s="4" t="inlineStr">
        <is>
          <t>Inversiones Objetivo</t>
        </is>
      </c>
      <c r="D3" s="4" t="inlineStr">
        <is>
          <t>Rango Inversión</t>
        </is>
      </c>
      <c r="E3" s="4" t="inlineStr">
        <is>
          <t>Horizonte</t>
        </is>
      </c>
      <c r="F3" s="4" t="inlineStr">
        <is>
          <t>Equity Stake</t>
        </is>
      </c>
      <c r="G3" s="4" t="inlineStr">
        <is>
          <t>Enfoque</t>
        </is>
      </c>
    </row>
    <row r="4">
      <c r="A4" s="5" t="inlineStr">
        <is>
          <t>Fondo Seed</t>
        </is>
      </c>
      <c r="B4" s="6" t="inlineStr">
        <is>
          <t>$100M</t>
        </is>
      </c>
      <c r="C4" s="6" t="inlineStr">
        <is>
          <t>50+ inversiones</t>
        </is>
      </c>
      <c r="D4" s="6" t="inlineStr">
        <is>
          <t>$100K-$2M</t>
        </is>
      </c>
      <c r="E4" s="6" t="inlineStr">
        <is>
          <t>3-5 años</t>
        </is>
      </c>
      <c r="F4" s="6" t="inlineStr">
        <is>
          <t>10-20%</t>
        </is>
      </c>
      <c r="G4" s="6" t="inlineStr">
        <is>
          <t>AI-First startups, Deep Tech</t>
        </is>
      </c>
    </row>
    <row r="5">
      <c r="A5" s="8" t="inlineStr">
        <is>
          <t>Fondo Growth</t>
        </is>
      </c>
      <c r="B5" s="9" t="inlineStr">
        <is>
          <t>$500M</t>
        </is>
      </c>
      <c r="C5" s="9" t="inlineStr">
        <is>
          <t>30+ inversiones</t>
        </is>
      </c>
      <c r="D5" s="9" t="inlineStr">
        <is>
          <t>$5M-$25M</t>
        </is>
      </c>
      <c r="E5" s="9" t="inlineStr">
        <is>
          <t>2-3 años</t>
        </is>
      </c>
      <c r="F5" s="9" t="inlineStr">
        <is>
          <t>15-25%</t>
        </is>
      </c>
      <c r="G5" s="9" t="inlineStr">
        <is>
          <t>Scaling AI, Expansión mercado</t>
        </is>
      </c>
    </row>
    <row r="6">
      <c r="A6" s="5" t="inlineStr">
        <is>
          <t>Fondo Expansion</t>
        </is>
      </c>
      <c r="B6" s="6" t="inlineStr">
        <is>
          <t>$1B</t>
        </is>
      </c>
      <c r="C6" s="6" t="inlineStr">
        <is>
          <t>20+ inversiones</t>
        </is>
      </c>
      <c r="D6" s="6" t="inlineStr">
        <is>
          <t>$25M-$100M</t>
        </is>
      </c>
      <c r="E6" s="6" t="inlineStr">
        <is>
          <t>1-2 años</t>
        </is>
      </c>
      <c r="F6" s="6" t="inlineStr">
        <is>
          <t>20-30%</t>
        </is>
      </c>
      <c r="G6" s="6" t="inlineStr">
        <is>
          <t>Market Leaders, IPO prep</t>
        </is>
      </c>
    </row>
  </sheetData>
  <mergeCells count="1">
    <mergeCell ref="A1:G1"/>
  </mergeCells>
  <pageMargins left="0.5" right="0.5" top="0.75" bottom="0.75" header="0.5" footer="0.5"/>
  <pageSetup orientation="landscape" paperSize="9" fitToHeight="0" fitToWidth="1"/>
  <headerFooter>
    <oddHeader>&amp;C&amp;F</oddHeader>
    <oddFooter>&amp;CPágina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0" t="inlineStr">
        <is>
          <t>ANÁLISIS DE RETORNO DE INVERSIÓN (ROI)</t>
        </is>
      </c>
    </row>
    <row r="3">
      <c r="A3" s="4" t="inlineStr">
        <is>
          <t>Escenario</t>
        </is>
      </c>
      <c r="B3" s="4" t="inlineStr">
        <is>
          <t>Inversión</t>
        </is>
      </c>
      <c r="C3" s="4" t="inlineStr">
        <is>
          <t>Valor Salida</t>
        </is>
      </c>
      <c r="D3" s="4" t="inlineStr">
        <is>
          <t>Múltiple</t>
        </is>
      </c>
      <c r="E3" s="4" t="inlineStr">
        <is>
          <t>IRR</t>
        </is>
      </c>
      <c r="F3" s="4" t="inlineStr">
        <is>
          <t>Probabilidad</t>
        </is>
      </c>
    </row>
    <row r="4">
      <c r="A4" s="14" t="inlineStr">
        <is>
          <t>Conservador</t>
        </is>
      </c>
      <c r="B4" s="15" t="n">
        <v>8000000</v>
      </c>
      <c r="C4" s="15" t="n">
        <v>100000000</v>
      </c>
      <c r="D4" s="18">
        <f>C4/B4</f>
        <v/>
      </c>
      <c r="E4" s="19">
        <f>POWER(C4/B4,1/3)-1</f>
        <v/>
      </c>
      <c r="F4" s="16" t="inlineStr">
        <is>
          <t>30%</t>
        </is>
      </c>
    </row>
    <row r="5">
      <c r="A5" s="14" t="inlineStr">
        <is>
          <t>Caso Base</t>
        </is>
      </c>
      <c r="B5" s="15" t="n">
        <v>8000000</v>
      </c>
      <c r="C5" s="15" t="n">
        <v>200000000</v>
      </c>
      <c r="D5" s="18">
        <f>C5/B5</f>
        <v/>
      </c>
      <c r="E5" s="19">
        <f>POWER(C5/B5,1/3)-1</f>
        <v/>
      </c>
      <c r="F5" s="16" t="inlineStr">
        <is>
          <t>50%</t>
        </is>
      </c>
    </row>
    <row r="6">
      <c r="A6" s="14" t="inlineStr">
        <is>
          <t>Optimista</t>
        </is>
      </c>
      <c r="B6" s="15" t="n">
        <v>8000000</v>
      </c>
      <c r="C6" s="15" t="n">
        <v>500000000</v>
      </c>
      <c r="D6" s="18">
        <f>C6/B6</f>
        <v/>
      </c>
      <c r="E6" s="19">
        <f>POWER(C6/B6,1/3)-1</f>
        <v/>
      </c>
      <c r="F6" s="16" t="inlineStr">
        <is>
          <t>20%</t>
        </is>
      </c>
    </row>
    <row r="7">
      <c r="A7" s="20" t="inlineStr">
        <is>
          <t>PROMEDIO PONDERADO</t>
        </is>
      </c>
      <c r="B7" s="21">
        <f>AVERAGE(B4:B6)</f>
        <v/>
      </c>
      <c r="C7" s="21">
        <f>C4*0.3+C5*0.5+C6*0.2</f>
        <v/>
      </c>
      <c r="D7" s="22">
        <f>C7/B7</f>
        <v/>
      </c>
      <c r="E7" s="23">
        <f>POWER(C7/B7,1/3)-1</f>
        <v/>
      </c>
      <c r="F7" s="24" t="inlineStr">
        <is>
          <t>100%</t>
        </is>
      </c>
    </row>
  </sheetData>
  <mergeCells count="1">
    <mergeCell ref="A1:F1"/>
  </mergeCells>
  <pageMargins left="0.5" right="0.5" top="0.75" bottom="0.75" header="0.5" footer="0.5"/>
  <pageSetup orientation="landscape" paperSize="9" fitToHeight="0" fitToWidth="1"/>
  <headerFooter>
    <oddHeader>&amp;C&amp;F</oddHeader>
    <oddFooter>&amp;CPágina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2025-11-23T21:42:06Z</dcterms:created>
  <dcterms:modified xmlns:dcterms="http://purl.org/dc/terms/" xmlns:xsi="http://www.w3.org/2001/XMLSchema-instance" xsi:type="dcterms:W3CDTF">2025-11-23T21:42:07Z</dcterms:modified>
</cp:coreProperties>
</file>