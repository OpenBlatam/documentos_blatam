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it Waterfall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<sst xmlns="http://schemas.openxmlformats.org/spreadsheetml/2006/main" count="24" uniqueCount="23">
  <si>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EXIT SCENARIO MODELING</t>
  </si>
  <si>
    <t>Exit Inputs</t>
  </si>
  <si>
    <t>Exit Valuation</t>
  </si>
  <si>
    <t>Transaction Fees</t>
  </si>
  <si>
    <t>Available for Distribution</t>
  </si>
  <si>
    <t>Cap Table Distribution</t>
  </si>
  <si>
    <t>Class</t>
  </si>
  <si>
    <t>Invested Capital</t>
  </si>
  <si>
    <t>Liq Pref</t>
  </si>
  <si>
    <t>Multiplier</t>
  </si>
  <si>
    <t>Ownership %</t>
  </si>
  <si>
    <t>Proceeds (Pref)</t>
  </si>
  <si>
    <t>Proceeds (Common)</t>
  </si>
  <si>
    <t>Total Proceeds</t>
  </si>
  <si>
    <t>Multiple</t>
  </si>
  <si>
    <t>Series B Investors</t>
  </si>
  <si>
    <t>Senior</t>
  </si>
  <si>
    <t>Series A Investors (Ventura)</t>
  </si>
  <si>
    <t>Pari Passu</t>
  </si>
  <si>
    <t>Seed Investors</t>
  </si>
  <si>
    <t>Junior</t>
  </si>
  <si>
    <t>Common Stock (Founders/Esop)</t>
  </si>
  <si>
    <t>N/A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</si>
</sst>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x"/>
  </numFmts>
  <fonts count="4">
    <font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15"/>
  <sheetViews>
    <sheetView tabSelected="1" workbookViewId="0"/>
  </sheetViews>
  <sheetFormatPr defaultRowHeight="15"/>
  <cols>
    <col min="2" max="2" width="25.7109375" customWidth="1"/>
    <col min="3" max="10" width="15.7109375" customWidth="1"/>
  </cols>
  <sheetData>
    <row r="2" spans="2:10">
      <c r="B2" s="1" t="s">
        <v>0</v>
      </c>
    </row>
    <row r="4" spans="2:10">
      <c r="B4" s="2" t="s">
        <v>1</v>
      </c>
    </row>
    <row r="5" spans="2:10">
      <c r="B5" s="3" t="s">
        <v>2</v>
      </c>
      <c r="C5" s="4">
        <v>500000000</v>
      </c>
    </row>
    <row r="6" spans="2:10">
      <c r="B6" s="3" t="s">
        <v>3</v>
      </c>
      <c r="C6" s="4">
        <v>5000000</v>
      </c>
    </row>
    <row r="7" spans="2:10">
      <c r="B7" s="3" t="s">
        <v>4</v>
      </c>
      <c r="C7" s="5">
        <f>C5-C6</f>
        <v>0</v>
      </c>
    </row>
    <row r="10" spans="2:10">
      <c r="B10" s="2" t="s">
        <v>5</v>
      </c>
    </row>
    <row r="11" spans="2:10">
      <c r="B11" s="6" t="s">
        <v>6</v>
      </c>
      <c r="C11" s="6" t="s">
        <v>7</v>
      </c>
      <c r="D11" s="6" t="s">
        <v>8</v>
      </c>
      <c r="E11" s="6" t="s">
        <v>9</v>
      </c>
      <c r="F11" s="6" t="s">
        <v>10</v>
      </c>
      <c r="G11" s="6" t="s">
        <v>11</v>
      </c>
      <c r="H11" s="6" t="s">
        <v>12</v>
      </c>
      <c r="I11" s="6" t="s">
        <v>13</v>
      </c>
      <c r="J11" s="6" t="s">
        <v>14</v>
      </c>
    </row>
    <row r="12" spans="2:10">
      <c r="B12" t="s">
        <v>15</v>
      </c>
      <c r="C12" s="5">
        <v>50000000</v>
      </c>
      <c r="D12" t="s">
        <v>16</v>
      </c>
      <c r="E12">
        <v>1</v>
      </c>
      <c r="F12" s="7">
        <v>0.15</v>
      </c>
      <c r="G12" s="5">
        <v>0</v>
      </c>
      <c r="H12" s="5">
        <v>0</v>
      </c>
      <c r="I12" s="5">
        <f>$C$7*F12</f>
        <v>0</v>
      </c>
      <c r="J12" s="8">
        <f>I12/C12</f>
        <v>0</v>
      </c>
    </row>
    <row r="13" spans="2:10">
      <c r="B13" t="s">
        <v>17</v>
      </c>
      <c r="C13" s="5">
        <v>15000000</v>
      </c>
      <c r="D13" t="s">
        <v>18</v>
      </c>
      <c r="E13">
        <v>1</v>
      </c>
      <c r="F13" s="7">
        <v>0.2</v>
      </c>
      <c r="G13" s="5">
        <v>0</v>
      </c>
      <c r="H13" s="5">
        <v>0</v>
      </c>
      <c r="I13" s="5">
        <f>$C$7*F13</f>
        <v>0</v>
      </c>
      <c r="J13" s="8">
        <f>I13/C13</f>
        <v>0</v>
      </c>
    </row>
    <row r="14" spans="2:10">
      <c r="B14" t="s">
        <v>19</v>
      </c>
      <c r="C14" s="5">
        <v>2000000</v>
      </c>
      <c r="D14" t="s">
        <v>20</v>
      </c>
      <c r="E14">
        <v>1</v>
      </c>
      <c r="F14" s="7">
        <v>0.1</v>
      </c>
      <c r="G14" s="5">
        <v>0</v>
      </c>
      <c r="H14" s="5">
        <v>0</v>
      </c>
      <c r="I14" s="5">
        <f>$C$7*F14</f>
        <v>0</v>
      </c>
      <c r="J14" s="8">
        <f>I14/C14</f>
        <v>0</v>
      </c>
    </row>
    <row r="15" spans="2:10">
      <c r="B15" t="s">
        <v>21</v>
      </c>
      <c r="C15" s="5">
        <v>0</v>
      </c>
      <c r="D15" t="s">
        <v>22</v>
      </c>
      <c r="E15">
        <v>0</v>
      </c>
      <c r="F15" s="7">
        <v>0.55</v>
      </c>
      <c r="G15" s="5">
        <v>0</v>
      </c>
      <c r="H15" s="5">
        <v>0</v>
      </c>
      <c r="I15" s="5">
        <f>$C$7*F15</f>
        <v>0</v>
      </c>
      <c r="J1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Waterfall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2025-11-23T22:00:20Z</dcterms:created>
  <dcterms:modified xsi:type="dcterms:W3CDTF">2025-11-23T22:00:20Z</dcterms:modified>
</cp:coreProperties>
</file>