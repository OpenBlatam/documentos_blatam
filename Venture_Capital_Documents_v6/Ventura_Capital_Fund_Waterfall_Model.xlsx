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sumptions" sheetId="1" r:id="rId1"/>
    <sheet name="Portfolio Cash Flows" sheetId="2" r:id="rId2"/>
    <sheet name="Distribution Waterfall" sheetId="3" r:id="rId3"/>
  </sheets>
  <calcPr calcId="124519" fullCalcOnLoad="1"/>
</workbook>
</file>

<file path=xl/sharedStrings.xml><?xml version="1.0" encoding="utf-8"?>
<sst xmlns="http://schemas.openxmlformats.org/spreadsheetml/2006/main" count="42" uniqueCount="37">
  <si>
    <t>FUND ASSUMPTIONS</t>
  </si>
  <si>
    <t>Committed Capital</t>
  </si>
  <si>
    <t>Management Fee (Annual)</t>
  </si>
  <si>
    <t>Carried Interest (GP)</t>
  </si>
  <si>
    <t>Hurdle Rate (Preferred Return)</t>
  </si>
  <si>
    <t>GP Commit</t>
  </si>
  <si>
    <t>Investment Period (Years)</t>
  </si>
  <si>
    <t>Fund Term (Years)</t>
  </si>
  <si>
    <t>PORTFOLIO CASH FLOWS &amp; EXIT SCENARIOS</t>
  </si>
  <si>
    <t>Year</t>
  </si>
  <si>
    <t>Capital Called</t>
  </si>
  <si>
    <t>Mgmt Fees</t>
  </si>
  <si>
    <t>Invested Capital</t>
  </si>
  <si>
    <t>Exit Proceeds (Gross)</t>
  </si>
  <si>
    <t>Net Cash Flow</t>
  </si>
  <si>
    <t>TOTAL</t>
  </si>
  <si>
    <t>LPA DISTRIBUTION WATERFALL (European Style - Whole Fund)</t>
  </si>
  <si>
    <t>Tier</t>
  </si>
  <si>
    <t>Description</t>
  </si>
  <si>
    <t>Allocation Logic</t>
  </si>
  <si>
    <t>LPs Receive</t>
  </si>
  <si>
    <t>GP (Carry) Receives</t>
  </si>
  <si>
    <t>1. Return of Capital</t>
  </si>
  <si>
    <t>100% to LPs until they get back their Contributed Capital</t>
  </si>
  <si>
    <t>100% LP / 0% GP</t>
  </si>
  <si>
    <t>Yes</t>
  </si>
  <si>
    <t>No</t>
  </si>
  <si>
    <t>2. Preferred Return</t>
  </si>
  <si>
    <t>8% annual hurdle rate to LPs</t>
  </si>
  <si>
    <t>3. GP Catch-up</t>
  </si>
  <si>
    <t>GP gets 20% of profits (catch up to 80/20 split)</t>
  </si>
  <si>
    <t>0% LP / 100% GP</t>
  </si>
  <si>
    <t>4. Carried Interest</t>
  </si>
  <si>
    <t>Remaining profits split 80/20</t>
  </si>
  <si>
    <t>80% LP / 20% GP</t>
  </si>
  <si>
    <t>80%</t>
  </si>
  <si>
    <t>20%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</si>
</sst>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3">
    <font>
      <sz val="11"/>
      <color theme="1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C10"/>
  <sheetViews>
    <sheetView tabSelected="1" workbookViewId="0"/>
  </sheetViews>
  <sheetFormatPr defaultRowHeight="15"/>
  <cols>
    <col min="2" max="2" width="30.7109375" customWidth="1"/>
    <col min="3" max="3" width="15.7109375" customWidth="1"/>
  </cols>
  <sheetData>
    <row r="2" spans="2:3">
      <c r="B2" s="1" t="s">
        <v>0</v>
      </c>
    </row>
    <row r="4" spans="2:3">
      <c r="B4" s="2" t="s">
        <v>1</v>
      </c>
      <c r="C4" s="3">
        <v>100000000</v>
      </c>
    </row>
    <row r="5" spans="2:3">
      <c r="B5" s="2" t="s">
        <v>2</v>
      </c>
      <c r="C5" s="3">
        <v>0.02</v>
      </c>
    </row>
    <row r="6" spans="2:3">
      <c r="B6" s="2" t="s">
        <v>3</v>
      </c>
      <c r="C6" s="3">
        <v>0.2</v>
      </c>
    </row>
    <row r="7" spans="2:3">
      <c r="B7" s="2" t="s">
        <v>4</v>
      </c>
      <c r="C7" s="3">
        <v>0.08</v>
      </c>
    </row>
    <row r="8" spans="2:3">
      <c r="B8" s="2" t="s">
        <v>5</v>
      </c>
      <c r="C8" s="3">
        <v>0.01</v>
      </c>
    </row>
    <row r="9" spans="2:3">
      <c r="B9" s="2" t="s">
        <v>6</v>
      </c>
      <c r="C9" s="2">
        <v>5</v>
      </c>
    </row>
    <row r="10" spans="2:3">
      <c r="B10" s="2" t="s">
        <v>7</v>
      </c>
      <c r="C10" s="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G15"/>
  <sheetViews>
    <sheetView workbookViewId="0"/>
  </sheetViews>
  <sheetFormatPr defaultRowHeight="15"/>
  <cols>
    <col min="2" max="7" width="18.7109375" customWidth="1"/>
  </cols>
  <sheetData>
    <row r="2" spans="2:7">
      <c r="B2" s="1" t="s">
        <v>8</v>
      </c>
    </row>
    <row r="4" spans="2:7"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</row>
    <row r="5" spans="2:7">
      <c r="B5" s="2">
        <v>1</v>
      </c>
      <c r="C5" s="5">
        <v>20000000</v>
      </c>
      <c r="D5" s="5">
        <v>2000000</v>
      </c>
      <c r="E5" s="5">
        <v>18000000</v>
      </c>
      <c r="F5" s="5">
        <v>0</v>
      </c>
      <c r="G5" s="5">
        <v>-20000000</v>
      </c>
    </row>
    <row r="6" spans="2:7">
      <c r="B6" s="2">
        <v>2</v>
      </c>
      <c r="C6" s="5">
        <v>20000000</v>
      </c>
      <c r="D6" s="5">
        <v>2000000</v>
      </c>
      <c r="E6" s="5">
        <v>18000000</v>
      </c>
      <c r="F6" s="5">
        <v>0</v>
      </c>
      <c r="G6" s="5">
        <v>-20000000</v>
      </c>
    </row>
    <row r="7" spans="2:7">
      <c r="B7" s="2">
        <v>3</v>
      </c>
      <c r="C7" s="5">
        <v>20000000</v>
      </c>
      <c r="D7" s="5">
        <v>2000000</v>
      </c>
      <c r="E7" s="5">
        <v>18000000</v>
      </c>
      <c r="F7" s="5">
        <v>0</v>
      </c>
      <c r="G7" s="5">
        <v>-20000000</v>
      </c>
    </row>
    <row r="8" spans="2:7">
      <c r="B8" s="2">
        <v>4</v>
      </c>
      <c r="C8" s="5">
        <v>20000000</v>
      </c>
      <c r="D8" s="5">
        <v>2000000</v>
      </c>
      <c r="E8" s="5">
        <v>18000000</v>
      </c>
      <c r="F8" s="5">
        <v>0</v>
      </c>
      <c r="G8" s="5">
        <v>-20000000</v>
      </c>
    </row>
    <row r="9" spans="2:7">
      <c r="B9" s="2">
        <v>5</v>
      </c>
      <c r="C9" s="5">
        <v>20000000</v>
      </c>
      <c r="D9" s="5">
        <v>2000000</v>
      </c>
      <c r="E9" s="5">
        <v>18000000</v>
      </c>
      <c r="F9" s="5">
        <v>0</v>
      </c>
      <c r="G9" s="5">
        <v>-20000000</v>
      </c>
    </row>
    <row r="10" spans="2:7">
      <c r="B10" s="2">
        <v>6</v>
      </c>
      <c r="C10" s="5">
        <v>0</v>
      </c>
      <c r="D10" s="5">
        <v>2000000</v>
      </c>
      <c r="E10" s="5">
        <v>0</v>
      </c>
      <c r="F10" s="5">
        <v>10000000</v>
      </c>
      <c r="G10" s="5">
        <v>10000000</v>
      </c>
    </row>
    <row r="11" spans="2:7">
      <c r="B11" s="2">
        <v>7</v>
      </c>
      <c r="C11" s="5">
        <v>0</v>
      </c>
      <c r="D11" s="5">
        <v>2000000</v>
      </c>
      <c r="E11" s="5">
        <v>0</v>
      </c>
      <c r="F11" s="5">
        <v>0</v>
      </c>
      <c r="G11" s="5">
        <v>0</v>
      </c>
    </row>
    <row r="12" spans="2:7">
      <c r="B12" s="2">
        <v>8</v>
      </c>
      <c r="C12" s="5">
        <v>0</v>
      </c>
      <c r="D12" s="5">
        <v>2000000</v>
      </c>
      <c r="E12" s="5">
        <v>0</v>
      </c>
      <c r="F12" s="5">
        <v>50000000</v>
      </c>
      <c r="G12" s="5">
        <v>50000000</v>
      </c>
    </row>
    <row r="13" spans="2:7">
      <c r="B13" s="2">
        <v>9</v>
      </c>
      <c r="C13" s="5">
        <v>0</v>
      </c>
      <c r="D13" s="5">
        <v>2000000</v>
      </c>
      <c r="E13" s="5">
        <v>0</v>
      </c>
      <c r="F13" s="5">
        <v>0</v>
      </c>
      <c r="G13" s="5">
        <v>0</v>
      </c>
    </row>
    <row r="14" spans="2:7">
      <c r="B14" s="2">
        <v>10</v>
      </c>
      <c r="C14" s="5">
        <v>0</v>
      </c>
      <c r="D14" s="5">
        <v>2000000</v>
      </c>
      <c r="E14" s="5">
        <v>0</v>
      </c>
      <c r="F14" s="5">
        <v>200000000</v>
      </c>
      <c r="G14" s="5">
        <v>200000000</v>
      </c>
    </row>
    <row r="15" spans="2:7">
      <c r="B15" s="4" t="s">
        <v>15</v>
      </c>
      <c r="C15" s="5">
        <f>SUM(C5:C14)</f>
        <v>0</v>
      </c>
      <c r="D15" s="5">
        <f>SUM(D5:D14)</f>
        <v>0</v>
      </c>
      <c r="E15" s="5">
        <f>SUM(E5:E14)</f>
        <v>0</v>
      </c>
      <c r="F15" s="5">
        <f>SUM(F5:F14)</f>
        <v>0</v>
      </c>
      <c r="G15" s="5">
        <f>SUM(G5:G14)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F8"/>
  <sheetViews>
    <sheetView workbookViewId="0"/>
  </sheetViews>
  <sheetFormatPr defaultRowHeight="15"/>
  <cols>
    <col min="2" max="2" width="25.7109375" customWidth="1"/>
    <col min="3" max="3" width="40.7109375" customWidth="1"/>
    <col min="4" max="4" width="25.7109375" customWidth="1"/>
    <col min="5" max="6" width="20.7109375" customWidth="1"/>
  </cols>
  <sheetData>
    <row r="2" spans="2:6">
      <c r="B2" s="1" t="s">
        <v>16</v>
      </c>
    </row>
    <row r="4" spans="2:6">
      <c r="B4" s="4" t="s">
        <v>17</v>
      </c>
      <c r="C4" s="4" t="s">
        <v>18</v>
      </c>
      <c r="D4" s="4" t="s">
        <v>19</v>
      </c>
      <c r="E4" s="4" t="s">
        <v>20</v>
      </c>
      <c r="F4" s="4" t="s">
        <v>21</v>
      </c>
    </row>
    <row r="5" spans="2:6"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</row>
    <row r="6" spans="2:6">
      <c r="B6" s="2" t="s">
        <v>27</v>
      </c>
      <c r="C6" s="2" t="s">
        <v>28</v>
      </c>
      <c r="D6" s="2" t="s">
        <v>24</v>
      </c>
      <c r="E6" s="2" t="s">
        <v>25</v>
      </c>
      <c r="F6" s="2" t="s">
        <v>26</v>
      </c>
    </row>
    <row r="7" spans="2:6">
      <c r="B7" s="2" t="s">
        <v>29</v>
      </c>
      <c r="C7" s="2" t="s">
        <v>30</v>
      </c>
      <c r="D7" s="2" t="s">
        <v>31</v>
      </c>
      <c r="E7" s="2" t="s">
        <v>26</v>
      </c>
      <c r="F7" s="2" t="s">
        <v>25</v>
      </c>
    </row>
    <row r="8" spans="2:6">
      <c r="B8" s="2" t="s">
        <v>32</v>
      </c>
      <c r="C8" s="2" t="s">
        <v>33</v>
      </c>
      <c r="D8" s="2" t="s">
        <v>34</v>
      </c>
      <c r="E8" s="2" t="s">
        <v>35</v>
      </c>
      <c r="F8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Portfolio Cash Flows</vt:lpstr>
      <vt:lpstr>Distribution Waterfall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2025-11-23T21:59:32Z</dcterms:created>
  <dcterms:modified xsi:type="dcterms:W3CDTF">2025-11-23T21:59:32Z</dcterms:modified>
</cp:coreProperties>
</file>