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yecciones" sheetId="2" state="visible" r:id="rId2"/>
    <sheet xmlns:r="http://schemas.openxmlformats.org/officeDocument/2006/relationships" name="Cap Table" sheetId="3" state="visible" r:id="rId3"/>
    <sheet xmlns:r="http://schemas.openxmlformats.org/officeDocument/2006/relationships" name="Due Diligence Tracker" sheetId="4" state="visible" r:id="rId4"/>
    <sheet xmlns:r="http://schemas.openxmlformats.org/officeDocument/2006/relationships" name="Cohort Analysis" sheetId="5" state="visible" r:id="rId5"/>
    <sheet xmlns:r="http://schemas.openxmlformats.org/officeDocument/2006/relationships" name="Staffing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203764"/>
      <sz val="20"/>
    </font>
    <font>
      <b val="1"/>
      <color rgb="007F7F7F"/>
    </font>
    <font>
      <b val="1"/>
      <color rgb="00203764"/>
      <sz val="18"/>
    </font>
    <font>
      <i val="1"/>
      <color rgb="00A5A5A5"/>
      <sz val="9"/>
    </font>
    <font>
      <b val="1"/>
    </font>
    <font>
      <name val="Segoe UI"/>
      <b val="1"/>
      <color rgb="00FFFFFF"/>
      <sz val="12"/>
    </font>
    <font>
      <name val="Segoe UI"/>
      <sz val="1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 wrapText="1"/>
    </xf>
    <xf numFmtId="165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Proyectado (ARR vs Revenue)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'Proyecciones'!$A$2:$A$4</f>
            </numRef>
          </cat>
          <val>
            <numRef>
              <f>'Proyecciones'!$B$2:$B$4</f>
            </numRef>
          </val>
        </ser>
        <ser>
          <idx val="1"/>
          <order val="1"/>
          <tx>
            <strRef>
              <f>'Proyecciones'!C1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'Proyecciones'!$A$2:$A$4</f>
            </numRef>
          </cat>
          <val>
            <numRef>
              <f>'Proyecciones'!$C$2:$C$4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Estructura Accionaria (Post-Money)</a:t>
            </a:r>
          </a:p>
        </rich>
      </tx>
    </title>
    <plotArea>
      <pieChart>
        <varyColors val="1"/>
        <ser>
          <idx val="0"/>
          <order val="0"/>
          <tx>
            <strRef>
              <f>'Cap Table'!C1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Table'!$A$2:$A$4</f>
            </numRef>
          </cat>
          <val>
            <numRef>
              <f>'Cap Table'!$C$2:$C$4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VENTURA CAPITAL - EXECUTIVE DASHBOARD</t>
        </is>
      </c>
    </row>
    <row r="4">
      <c r="B4" s="2" t="inlineStr">
        <is>
          <t>Pre-money Valuation</t>
        </is>
      </c>
      <c r="D4" s="2" t="inlineStr">
        <is>
          <t>Ask Amount</t>
        </is>
      </c>
      <c r="F4" s="2" t="inlineStr">
        <is>
          <t>ARR (2026 Proj.)</t>
        </is>
      </c>
      <c r="H4" s="2" t="inlineStr">
        <is>
          <t>LTV/CAC</t>
        </is>
      </c>
    </row>
    <row r="5">
      <c r="B5" s="3" t="inlineStr">
        <is>
          <t>$8.0M</t>
        </is>
      </c>
      <c r="D5" s="3" t="inlineStr">
        <is>
          <t>$2.0M</t>
        </is>
      </c>
      <c r="F5" s="3" t="inlineStr">
        <is>
          <t>$3.6M</t>
        </is>
      </c>
      <c r="H5" s="3" t="inlineStr">
        <is>
          <t>9:1</t>
        </is>
      </c>
    </row>
    <row r="6">
      <c r="B6" s="4" t="inlineStr">
        <is>
          <t>Series A Target</t>
        </is>
      </c>
      <c r="D6" s="4" t="inlineStr">
        <is>
          <t>20% Equity</t>
        </is>
      </c>
      <c r="F6" s="4" t="inlineStr">
        <is>
          <t>12x Multiple</t>
        </is>
      </c>
      <c r="H6" s="4" t="inlineStr">
        <is>
          <t>Unit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>
      <c r="A1" s="5" t="n"/>
      <c r="B1" s="5" t="n"/>
      <c r="C1" s="5" t="n"/>
      <c r="D1" s="5" t="n"/>
    </row>
    <row r="2">
      <c r="A2" s="6" t="inlineStr">
        <is>
          <t>Year</t>
        </is>
      </c>
      <c r="B2" s="7" t="inlineStr">
        <is>
          <t>ARR</t>
        </is>
      </c>
      <c r="C2" s="7" t="inlineStr">
        <is>
          <t>Revenue</t>
        </is>
      </c>
      <c r="D2" s="7" t="inlineStr">
        <is>
          <t>EBITDA</t>
        </is>
      </c>
    </row>
    <row r="3">
      <c r="A3" s="6" t="n">
        <v>2024</v>
      </c>
      <c r="B3" s="7" t="n">
        <v>139000</v>
      </c>
      <c r="C3" s="7" t="n">
        <v>100000</v>
      </c>
      <c r="D3" s="7" t="n">
        <v>-865000</v>
      </c>
    </row>
    <row r="4">
      <c r="A4" s="6" t="n">
        <v>2025</v>
      </c>
      <c r="B4" s="7" t="n">
        <v>1460000</v>
      </c>
      <c r="C4" s="7" t="n">
        <v>1200000</v>
      </c>
      <c r="D4" s="7" t="n">
        <v>-350000</v>
      </c>
    </row>
    <row r="5">
      <c r="A5" s="6" t="n">
        <v>2026</v>
      </c>
      <c r="B5" s="7" t="n">
        <v>3600000</v>
      </c>
      <c r="C5" s="7" t="n">
        <v>3000000</v>
      </c>
      <c r="D5" s="7" t="n">
        <v>1600000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9" customWidth="1" min="3" max="3"/>
    <col width="17" customWidth="1" min="4" max="4"/>
  </cols>
  <sheetData>
    <row r="1">
      <c r="A1" s="5" t="n"/>
      <c r="B1" s="5" t="n"/>
      <c r="C1" s="8" t="n"/>
      <c r="D1" s="9" t="n"/>
    </row>
    <row r="2">
      <c r="A2" s="6" t="inlineStr">
        <is>
          <t>Shareholder</t>
        </is>
      </c>
      <c r="B2" s="6" t="inlineStr">
        <is>
          <t>Shares</t>
        </is>
      </c>
      <c r="C2" s="10" t="inlineStr">
        <is>
          <t>Ownership %</t>
        </is>
      </c>
      <c r="D2" s="7" t="inlineStr">
        <is>
          <t>Value ($)</t>
        </is>
      </c>
    </row>
    <row r="3">
      <c r="A3" s="6" t="inlineStr">
        <is>
          <t>Founders</t>
        </is>
      </c>
      <c r="B3" s="6" t="n">
        <v>8000000</v>
      </c>
      <c r="C3" s="10" t="n">
        <v>0.64</v>
      </c>
      <c r="D3" s="7" t="n">
        <v>6400000</v>
      </c>
    </row>
    <row r="4">
      <c r="A4" s="6" t="inlineStr">
        <is>
          <t>ESOP</t>
        </is>
      </c>
      <c r="B4" s="6" t="n">
        <v>2000000</v>
      </c>
      <c r="C4" s="10" t="n">
        <v>0.16</v>
      </c>
      <c r="D4" s="7" t="n">
        <v>1600000</v>
      </c>
    </row>
    <row r="5">
      <c r="A5" s="6" t="inlineStr">
        <is>
          <t>Investors (Series A)</t>
        </is>
      </c>
      <c r="B5" s="6" t="n">
        <v>2500000</v>
      </c>
      <c r="C5" s="10" t="n">
        <v>0.2</v>
      </c>
      <c r="D5" s="7" t="n">
        <v>2000000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7" customWidth="1" min="3" max="3"/>
    <col width="19" customWidth="1" min="4" max="4"/>
    <col width="30" customWidth="1" min="5" max="5"/>
  </cols>
  <sheetData>
    <row r="1">
      <c r="A1" s="5" t="n"/>
      <c r="B1" s="5" t="n"/>
      <c r="C1" s="5" t="n"/>
      <c r="D1" s="5" t="n"/>
      <c r="E1" s="5" t="n"/>
    </row>
    <row r="2">
      <c r="A2" s="6" t="inlineStr">
        <is>
          <t>Categoría</t>
        </is>
      </c>
      <c r="B2" s="6" t="inlineStr">
        <is>
          <t>Documento / Requisito</t>
        </is>
      </c>
      <c r="C2" s="6" t="inlineStr">
        <is>
          <t>Prioridad</t>
        </is>
      </c>
      <c r="D2" s="6" t="inlineStr">
        <is>
          <t>Status</t>
        </is>
      </c>
      <c r="E2" s="6" t="inlineStr">
        <is>
          <t>Notas</t>
        </is>
      </c>
    </row>
    <row r="3">
      <c r="A3" s="6" t="inlineStr">
        <is>
          <t>Legal</t>
        </is>
      </c>
      <c r="B3" s="6" t="inlineStr">
        <is>
          <t>Acta Constitutiva</t>
        </is>
      </c>
      <c r="C3" s="6" t="inlineStr">
        <is>
          <t>Alta</t>
        </is>
      </c>
      <c r="D3" s="6" t="inlineStr">
        <is>
          <t>Completado</t>
        </is>
      </c>
      <c r="E3" s="6" t="inlineStr">
        <is>
          <t>Archivo en Data Room</t>
        </is>
      </c>
    </row>
    <row r="4">
      <c r="A4" s="6" t="inlineStr">
        <is>
          <t>Legal</t>
        </is>
      </c>
      <c r="B4" s="6" t="inlineStr">
        <is>
          <t>Poderes Notariales</t>
        </is>
      </c>
      <c r="C4" s="6" t="inlineStr">
        <is>
          <t>Alta</t>
        </is>
      </c>
      <c r="D4" s="6" t="inlineStr">
        <is>
          <t>Completado</t>
        </is>
      </c>
      <c r="E4" s="6" t="inlineStr"/>
    </row>
    <row r="5">
      <c r="A5" s="6" t="inlineStr">
        <is>
          <t>Legal</t>
        </is>
      </c>
      <c r="B5" s="6" t="inlineStr">
        <is>
          <t>Registro de Accionistas</t>
        </is>
      </c>
      <c r="C5" s="6" t="inlineStr">
        <is>
          <t>Alta</t>
        </is>
      </c>
      <c r="D5" s="6" t="inlineStr">
        <is>
          <t>Pendiente</t>
        </is>
      </c>
      <c r="E5" s="6" t="inlineStr">
        <is>
          <t>Actualizar libro</t>
        </is>
      </c>
    </row>
    <row r="6">
      <c r="A6" s="6" t="inlineStr">
        <is>
          <t>Financiero</t>
        </is>
      </c>
      <c r="B6" s="6" t="inlineStr">
        <is>
          <t>Estados Financieros 2023</t>
        </is>
      </c>
      <c r="C6" s="6" t="inlineStr">
        <is>
          <t>Alta</t>
        </is>
      </c>
      <c r="D6" s="6" t="inlineStr">
        <is>
          <t>Completado</t>
        </is>
      </c>
      <c r="E6" s="6" t="inlineStr">
        <is>
          <t>Auditados</t>
        </is>
      </c>
    </row>
    <row r="7">
      <c r="A7" s="6" t="inlineStr">
        <is>
          <t>Financiero</t>
        </is>
      </c>
      <c r="B7" s="6" t="inlineStr">
        <is>
          <t>Proyecciones 2024-2026</t>
        </is>
      </c>
      <c r="C7" s="6" t="inlineStr">
        <is>
          <t>Media</t>
        </is>
      </c>
      <c r="D7" s="6" t="inlineStr">
        <is>
          <t>En Revisión</t>
        </is>
      </c>
      <c r="E7" s="6" t="inlineStr">
        <is>
          <t>Ajustar EBITDA</t>
        </is>
      </c>
    </row>
    <row r="8">
      <c r="A8" s="6" t="inlineStr">
        <is>
          <t>Técnico</t>
        </is>
      </c>
      <c r="B8" s="6" t="inlineStr">
        <is>
          <t>Arquitectura de Software</t>
        </is>
      </c>
      <c r="C8" s="6" t="inlineStr">
        <is>
          <t>Alta</t>
        </is>
      </c>
      <c r="D8" s="6" t="inlineStr">
        <is>
          <t>Completado</t>
        </is>
      </c>
      <c r="E8" s="6" t="inlineStr"/>
    </row>
    <row r="9">
      <c r="A9" s="6" t="inlineStr">
        <is>
          <t>Técnico</t>
        </is>
      </c>
      <c r="B9" s="6" t="inlineStr">
        <is>
          <t>Reporte de Pentesting</t>
        </is>
      </c>
      <c r="C9" s="6" t="inlineStr">
        <is>
          <t>Media</t>
        </is>
      </c>
      <c r="D9" s="6" t="inlineStr">
        <is>
          <t>Pendiente</t>
        </is>
      </c>
      <c r="E9" s="6" t="inlineStr">
        <is>
          <t>Programado Oct</t>
        </is>
      </c>
    </row>
    <row r="10">
      <c r="A10" s="6" t="inlineStr">
        <is>
          <t>Mercado</t>
        </is>
      </c>
      <c r="B10" s="6" t="inlineStr">
        <is>
          <t>Análisis de Competencia</t>
        </is>
      </c>
      <c r="C10" s="6" t="inlineStr">
        <is>
          <t>Baja</t>
        </is>
      </c>
      <c r="D10" s="6" t="inlineStr">
        <is>
          <t>En Revisión</t>
        </is>
      </c>
      <c r="E10" s="6" t="inlineStr">
        <is>
          <t>Agregar nuevos players</t>
        </is>
      </c>
    </row>
  </sheetData>
  <conditionalFormatting sqref="D2:D100">
    <cfRule type="cellIs" priority="1" operator="equal" dxfId="0" stopIfTrue="1">
      <formula>"Completado"</formula>
    </cfRule>
    <cfRule type="cellIs" priority="2" operator="equal" dxfId="1" stopIfTrue="1">
      <formula>"En Revisión"</formula>
    </cfRule>
    <cfRule type="cellIs" priority="3" operator="equal" dxfId="2" stopIfTrue="1">
      <formula>"Pendiente"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1" t="inlineStr">
        <is>
          <t>Cohort</t>
        </is>
      </c>
      <c r="B1" s="11" t="inlineStr">
        <is>
          <t>New Users</t>
        </is>
      </c>
      <c r="C1" s="11" t="inlineStr">
        <is>
          <t>Month 1</t>
        </is>
      </c>
      <c r="D1" s="11" t="inlineStr">
        <is>
          <t>Month 2</t>
        </is>
      </c>
      <c r="E1" s="11" t="inlineStr">
        <is>
          <t>Month 3</t>
        </is>
      </c>
      <c r="F1" s="11" t="inlineStr">
        <is>
          <t>Month 4</t>
        </is>
      </c>
      <c r="G1" s="11" t="inlineStr">
        <is>
          <t>Month 5</t>
        </is>
      </c>
      <c r="H1" s="11" t="inlineStr">
        <is>
          <t>Month 6</t>
        </is>
      </c>
    </row>
    <row r="2">
      <c r="A2" s="12" t="inlineStr">
        <is>
          <t>Jan-24</t>
        </is>
      </c>
      <c r="B2" s="12" t="n">
        <v>50</v>
      </c>
      <c r="C2" s="12" t="inlineStr">
        <is>
          <t>100%</t>
        </is>
      </c>
      <c r="D2" s="12" t="inlineStr">
        <is>
          <t>95%</t>
        </is>
      </c>
      <c r="E2" s="12" t="inlineStr">
        <is>
          <t>90%</t>
        </is>
      </c>
      <c r="F2" s="12" t="inlineStr">
        <is>
          <t>85%</t>
        </is>
      </c>
      <c r="G2" s="12" t="inlineStr">
        <is>
          <t>80%</t>
        </is>
      </c>
      <c r="H2" s="12" t="inlineStr">
        <is>
          <t>75%</t>
        </is>
      </c>
    </row>
    <row r="3">
      <c r="A3" s="12" t="inlineStr">
        <is>
          <t>Feb-24</t>
        </is>
      </c>
      <c r="B3" s="12" t="n">
        <v>65</v>
      </c>
      <c r="C3" s="12" t="inlineStr">
        <is>
          <t>100%</t>
        </is>
      </c>
      <c r="D3" s="12" t="inlineStr">
        <is>
          <t>94%</t>
        </is>
      </c>
      <c r="E3" s="12" t="inlineStr">
        <is>
          <t>88%</t>
        </is>
      </c>
      <c r="F3" s="12" t="inlineStr">
        <is>
          <t>82%</t>
        </is>
      </c>
      <c r="G3" s="12" t="inlineStr">
        <is>
          <t>78%</t>
        </is>
      </c>
      <c r="H3" s="12" t="inlineStr"/>
    </row>
    <row r="4">
      <c r="A4" s="12" t="inlineStr">
        <is>
          <t>Mar-24</t>
        </is>
      </c>
      <c r="B4" s="12" t="n">
        <v>80</v>
      </c>
      <c r="C4" s="12" t="inlineStr">
        <is>
          <t>100%</t>
        </is>
      </c>
      <c r="D4" s="12" t="inlineStr">
        <is>
          <t>96%</t>
        </is>
      </c>
      <c r="E4" s="12" t="inlineStr">
        <is>
          <t>92%</t>
        </is>
      </c>
      <c r="F4" s="12" t="inlineStr">
        <is>
          <t>88%</t>
        </is>
      </c>
      <c r="G4" s="12" t="inlineStr"/>
      <c r="H4" s="12" t="inlineStr"/>
    </row>
    <row r="5">
      <c r="A5" s="12" t="inlineStr">
        <is>
          <t>Apr-24</t>
        </is>
      </c>
      <c r="B5" s="12" t="n">
        <v>95</v>
      </c>
      <c r="C5" s="12" t="inlineStr">
        <is>
          <t>100%</t>
        </is>
      </c>
      <c r="D5" s="12" t="inlineStr">
        <is>
          <t>95%</t>
        </is>
      </c>
      <c r="E5" s="12" t="inlineStr">
        <is>
          <t>90%</t>
        </is>
      </c>
      <c r="F5" s="12" t="inlineStr"/>
      <c r="G5" s="12" t="inlineStr"/>
      <c r="H5" s="12" t="inlineStr"/>
    </row>
    <row r="6">
      <c r="A6" s="12" t="inlineStr">
        <is>
          <t>May-24</t>
        </is>
      </c>
      <c r="B6" s="12" t="n">
        <v>120</v>
      </c>
      <c r="C6" s="12" t="inlineStr">
        <is>
          <t>100%</t>
        </is>
      </c>
      <c r="D6" s="12" t="inlineStr">
        <is>
          <t>97%</t>
        </is>
      </c>
      <c r="E6" s="12" t="inlineStr"/>
      <c r="F6" s="12" t="inlineStr"/>
      <c r="G6" s="12" t="inlineStr"/>
      <c r="H6" s="12" t="inlineStr"/>
    </row>
    <row r="7">
      <c r="A7" s="12" t="inlineStr">
        <is>
          <t>Jun-24</t>
        </is>
      </c>
      <c r="B7" s="12" t="n">
        <v>150</v>
      </c>
      <c r="C7" s="12" t="inlineStr">
        <is>
          <t>100%</t>
        </is>
      </c>
      <c r="D7" s="12" t="inlineStr"/>
      <c r="E7" s="12" t="inlineStr"/>
      <c r="F7" s="12" t="inlineStr"/>
      <c r="G7" s="12" t="inlineStr"/>
      <c r="H7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1" t="inlineStr">
        <is>
          <t>Role</t>
        </is>
      </c>
      <c r="B1" s="11" t="inlineStr">
        <is>
          <t>Type</t>
        </is>
      </c>
      <c r="C1" s="11" t="inlineStr">
        <is>
          <t>Salary (Annual)</t>
        </is>
      </c>
      <c r="D1" s="11" t="inlineStr">
        <is>
          <t>Q1 2025</t>
        </is>
      </c>
      <c r="E1" s="11" t="inlineStr">
        <is>
          <t>Q2 2025</t>
        </is>
      </c>
      <c r="F1" s="11" t="inlineStr">
        <is>
          <t>Q3 2025</t>
        </is>
      </c>
      <c r="G1" s="11" t="inlineStr">
        <is>
          <t>Q4 2025</t>
        </is>
      </c>
      <c r="H1" s="11" t="inlineStr">
        <is>
          <t>Cost Q4</t>
        </is>
      </c>
    </row>
    <row r="2">
      <c r="A2" s="12" t="inlineStr">
        <is>
          <t>CEO</t>
        </is>
      </c>
      <c r="B2" s="12" t="inlineStr">
        <is>
          <t>Founder</t>
        </is>
      </c>
      <c r="C2" s="12" t="n">
        <v>120000</v>
      </c>
      <c r="D2" s="12" t="n">
        <v>1</v>
      </c>
      <c r="E2" s="12" t="n">
        <v>1</v>
      </c>
      <c r="F2" s="12" t="n">
        <v>1</v>
      </c>
      <c r="G2" s="12" t="n">
        <v>1</v>
      </c>
      <c r="H2" s="12" t="inlineStr">
        <is>
          <t>$30k</t>
        </is>
      </c>
    </row>
    <row r="3">
      <c r="A3" s="12" t="inlineStr">
        <is>
          <t>CTO</t>
        </is>
      </c>
      <c r="B3" s="12" t="inlineStr">
        <is>
          <t>Founder</t>
        </is>
      </c>
      <c r="C3" s="12" t="n">
        <v>120000</v>
      </c>
      <c r="D3" s="12" t="n">
        <v>1</v>
      </c>
      <c r="E3" s="12" t="n">
        <v>1</v>
      </c>
      <c r="F3" s="12" t="n">
        <v>1</v>
      </c>
      <c r="G3" s="12" t="n">
        <v>1</v>
      </c>
      <c r="H3" s="12" t="inlineStr">
        <is>
          <t>$30k</t>
        </is>
      </c>
    </row>
    <row r="4">
      <c r="A4" s="12" t="inlineStr">
        <is>
          <t>Lead Dev</t>
        </is>
      </c>
      <c r="B4" s="12" t="inlineStr">
        <is>
          <t>FTE</t>
        </is>
      </c>
      <c r="C4" s="12" t="n">
        <v>90000</v>
      </c>
      <c r="D4" s="12" t="n">
        <v>1</v>
      </c>
      <c r="E4" s="12" t="n">
        <v>2</v>
      </c>
      <c r="F4" s="12" t="n">
        <v>3</v>
      </c>
      <c r="G4" s="12" t="n">
        <v>4</v>
      </c>
      <c r="H4" s="12" t="inlineStr">
        <is>
          <t>$90k</t>
        </is>
      </c>
    </row>
    <row r="5">
      <c r="A5" s="12" t="inlineStr">
        <is>
          <t>Sales Mgr</t>
        </is>
      </c>
      <c r="B5" s="12" t="inlineStr">
        <is>
          <t>FTE</t>
        </is>
      </c>
      <c r="C5" s="12" t="n">
        <v>80000</v>
      </c>
      <c r="D5" s="12" t="n">
        <v>1</v>
      </c>
      <c r="E5" s="12" t="n">
        <v>1</v>
      </c>
      <c r="F5" s="12" t="n">
        <v>2</v>
      </c>
      <c r="G5" s="12" t="n">
        <v>3</v>
      </c>
      <c r="H5" s="12" t="inlineStr">
        <is>
          <t>$60k</t>
        </is>
      </c>
    </row>
    <row r="6">
      <c r="A6" s="12" t="inlineStr">
        <is>
          <t>Mkt Specialist</t>
        </is>
      </c>
      <c r="B6" s="12" t="inlineStr">
        <is>
          <t>FTE</t>
        </is>
      </c>
      <c r="C6" s="12" t="n">
        <v>60000</v>
      </c>
      <c r="D6" s="12" t="n">
        <v>0</v>
      </c>
      <c r="E6" s="12" t="n">
        <v>1</v>
      </c>
      <c r="F6" s="12" t="n">
        <v>2</v>
      </c>
      <c r="G6" s="12" t="n">
        <v>2</v>
      </c>
      <c r="H6" s="12" t="inlineStr">
        <is>
          <t>$30k</t>
        </is>
      </c>
    </row>
    <row r="7">
      <c r="A7" s="12" t="inlineStr">
        <is>
          <t>CS Rep</t>
        </is>
      </c>
      <c r="B7" s="12" t="inlineStr">
        <is>
          <t>FTE</t>
        </is>
      </c>
      <c r="C7" s="12" t="n">
        <v>45000</v>
      </c>
      <c r="D7" s="12" t="n">
        <v>1</v>
      </c>
      <c r="E7" s="12" t="n">
        <v>2</v>
      </c>
      <c r="F7" s="12" t="n">
        <v>3</v>
      </c>
      <c r="G7" s="12" t="n">
        <v>4</v>
      </c>
      <c r="H7" s="12" t="inlineStr">
        <is>
          <t>$45k</t>
        </is>
      </c>
    </row>
    <row r="8">
      <c r="A8" s="12" t="inlineStr">
        <is>
          <t>Total Headcount</t>
        </is>
      </c>
      <c r="B8" s="12" t="inlineStr"/>
      <c r="C8" s="12" t="inlineStr"/>
      <c r="D8" s="12" t="n">
        <v>5</v>
      </c>
      <c r="E8" s="12" t="n">
        <v>8</v>
      </c>
      <c r="F8" s="12" t="n">
        <v>12</v>
      </c>
      <c r="G8" s="12" t="n">
        <v>15</v>
      </c>
      <c r="H8" s="12" t="inlineStr">
        <is>
          <t>$285k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2025-11-23T21:42:49Z</dcterms:created>
  <dcterms:modified xmlns:dcterms="http://purl.org/dc/terms/" xmlns:xsi="http://www.w3.org/2001/XMLSchema-instance" xsi:type="dcterms:W3CDTF">2025-11-23T21:50:25Z</dcterms:modified>
</cp:coreProperties>
</file>