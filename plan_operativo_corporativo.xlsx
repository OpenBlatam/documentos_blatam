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lan Operativo" sheetId="1" state="visible" r:id="rId1"/>
    <sheet xmlns:r="http://schemas.openxmlformats.org/officeDocument/2006/relationships" name="Proyecciones Financieras" sheetId="2" state="visible" r:id="rId2"/>
    <sheet xmlns:r="http://schemas.openxmlformats.org/officeDocument/2006/relationships" name="Estructura de Costos" sheetId="3" state="visible" r:id="rId3"/>
    <sheet xmlns:r="http://schemas.openxmlformats.org/officeDocument/2006/relationships" name="KPIs y Métricas" sheetId="4" state="visible" r:id="rId4"/>
    <sheet xmlns:r="http://schemas.openxmlformats.org/officeDocument/2006/relationships" name="Timeline" sheetId="5" state="visible" r:id="rId5"/>
    <sheet xmlns:r="http://schemas.openxmlformats.org/officeDocument/2006/relationships" name="Recursos" sheetId="6" state="visible" r:id="rId6"/>
  </sheets>
  <definedNames/>
  <calcPr calcId="124519" fullCalcOnLoad="1"/>
</workbook>
</file>

<file path=xl/styles.xml><?xml version="1.0" encoding="utf-8"?>
<styleSheet xmlns="http://schemas.openxmlformats.org/spreadsheetml/2006/main">
  <numFmts count="2">
    <numFmt numFmtId="164" formatCode="$#,##0"/>
    <numFmt numFmtId="165" formatCode="$#,##0.00"/>
  </numFmts>
  <fonts count="7">
    <font>
      <name val="Calibri"/>
      <family val="2"/>
      <color theme="1"/>
      <sz val="11"/>
      <scheme val="minor"/>
    </font>
    <font>
      <b val="1"/>
      <color rgb="001e3a8a"/>
      <sz val="16"/>
    </font>
    <font>
      <i val="1"/>
      <sz val="10"/>
    </font>
    <font>
      <b val="1"/>
      <color rgb="00ffffff"/>
      <sz val="12"/>
    </font>
    <font>
      <b val="1"/>
      <color rgb="001e3a8a"/>
      <sz val="14"/>
    </font>
    <font>
      <b val="1"/>
    </font>
    <font>
      <b val="1"/>
      <color rgb="00ffffff"/>
    </font>
  </fonts>
  <fills count="7">
    <fill>
      <patternFill/>
    </fill>
    <fill>
      <patternFill patternType="gray125"/>
    </fill>
    <fill>
      <patternFill patternType="solid">
        <fgColor rgb="001e3a8a"/>
        <bgColor rgb="001e3a8a"/>
      </patternFill>
    </fill>
    <fill>
      <patternFill patternType="solid">
        <fgColor rgb="00f8f9fa"/>
        <bgColor rgb="00f8f9fa"/>
      </patternFill>
    </fill>
    <fill>
      <patternFill patternType="solid">
        <fgColor rgb="00cbd5e1"/>
        <bgColor rgb="00cbd5e1"/>
      </patternFill>
    </fill>
    <fill>
      <patternFill patternType="solid">
        <fgColor rgb="00d4edda"/>
        <bgColor rgb="00d4edda"/>
      </patternFill>
    </fill>
    <fill>
      <patternFill patternType="solid">
        <fgColor rgb="003b82f6"/>
        <bgColor rgb="003b82f6"/>
      </patternFill>
    </fill>
  </fills>
  <borders count="2">
    <border>
      <left/>
      <right/>
      <top/>
      <bottom/>
      <diagonal/>
    </border>
    <border>
      <left style="thin"/>
      <right style="thin"/>
      <top style="thin"/>
      <bottom style="thin"/>
    </border>
  </borders>
  <cellStyleXfs count="1">
    <xf numFmtId="0" fontId="0" fillId="0" borderId="0"/>
  </cellStyleXfs>
  <cellXfs count="28">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xf>
    <xf numFmtId="0" fontId="3" fillId="2" borderId="1" applyAlignment="1" pivotButton="0" quotePrefix="0" xfId="0">
      <alignment horizontal="center" vertical="center" wrapText="1"/>
    </xf>
    <xf numFmtId="0" fontId="0" fillId="0" borderId="1" applyAlignment="1" pivotButton="0" quotePrefix="0" xfId="0">
      <alignment horizontal="left" vertical="top" wrapText="1"/>
    </xf>
    <xf numFmtId="0" fontId="0" fillId="3" borderId="1" applyAlignment="1" pivotButton="0" quotePrefix="0" xfId="0">
      <alignment horizontal="left" vertical="top" wrapText="1"/>
    </xf>
    <xf numFmtId="0" fontId="4" fillId="0" borderId="0" applyAlignment="1" pivotButton="0" quotePrefix="0" xfId="0">
      <alignment horizontal="center"/>
    </xf>
    <xf numFmtId="0" fontId="3" fillId="2" borderId="1" applyAlignment="1" pivotButton="0" quotePrefix="0" xfId="0">
      <alignment horizontal="center"/>
    </xf>
    <xf numFmtId="0" fontId="0" fillId="0" borderId="1" applyAlignment="1" pivotButton="0" quotePrefix="0" xfId="0">
      <alignment horizontal="center"/>
    </xf>
    <xf numFmtId="164" fontId="0" fillId="0" borderId="1" applyAlignment="1" pivotButton="0" quotePrefix="0" xfId="0">
      <alignment horizontal="right"/>
    </xf>
    <xf numFmtId="164" fontId="5" fillId="4" borderId="1" applyAlignment="1" pivotButton="0" quotePrefix="0" xfId="0">
      <alignment horizontal="right"/>
    </xf>
    <xf numFmtId="165" fontId="0" fillId="0" borderId="1" applyAlignment="1" pivotButton="0" quotePrefix="0" xfId="0">
      <alignment horizontal="right"/>
    </xf>
    <xf numFmtId="10" fontId="0" fillId="0" borderId="1" applyAlignment="1" pivotButton="0" quotePrefix="0" xfId="0">
      <alignment horizontal="right"/>
    </xf>
    <xf numFmtId="0" fontId="0" fillId="0" borderId="1" applyAlignment="1" pivotButton="0" quotePrefix="0" xfId="0">
      <alignment horizontal="right"/>
    </xf>
    <xf numFmtId="0" fontId="5" fillId="4" borderId="1" applyAlignment="1" pivotButton="0" quotePrefix="0" xfId="0">
      <alignment horizontal="center"/>
    </xf>
    <xf numFmtId="165" fontId="5" fillId="4" borderId="1" applyAlignment="1" pivotButton="0" quotePrefix="0" xfId="0">
      <alignment horizontal="right"/>
    </xf>
    <xf numFmtId="10" fontId="5" fillId="4" borderId="1" applyAlignment="1" pivotButton="0" quotePrefix="0" xfId="0">
      <alignment horizontal="right"/>
    </xf>
    <xf numFmtId="0" fontId="5" fillId="4" borderId="1" applyAlignment="1" pivotButton="0" quotePrefix="0" xfId="0">
      <alignment horizontal="right"/>
    </xf>
    <xf numFmtId="0" fontId="0" fillId="3" borderId="1" applyAlignment="1" pivotButton="0" quotePrefix="0" xfId="0">
      <alignment horizontal="left"/>
    </xf>
    <xf numFmtId="0" fontId="0" fillId="3" borderId="1" applyAlignment="1" pivotButton="0" quotePrefix="0" xfId="0">
      <alignment horizontal="center"/>
    </xf>
    <xf numFmtId="0" fontId="0" fillId="5" borderId="1" applyAlignment="1" pivotButton="0" quotePrefix="0" xfId="0">
      <alignment horizontal="center"/>
    </xf>
    <xf numFmtId="0" fontId="0" fillId="0" borderId="1" applyAlignment="1" pivotButton="0" quotePrefix="0" xfId="0">
      <alignment horizontal="left"/>
    </xf>
    <xf numFmtId="0" fontId="6" fillId="6" borderId="1" applyAlignment="1" pivotButton="0" quotePrefix="0" xfId="0">
      <alignment horizontal="center"/>
    </xf>
    <xf numFmtId="0" fontId="3" fillId="2" borderId="1" applyAlignment="1" pivotButton="0" quotePrefix="0" xfId="0">
      <alignment horizontal="center" wrapText="1"/>
    </xf>
    <xf numFmtId="0" fontId="0" fillId="3" borderId="1" applyAlignment="1" pivotButton="0" quotePrefix="0" xfId="0">
      <alignment horizontal="left" wrapText="1"/>
    </xf>
    <xf numFmtId="0" fontId="0" fillId="3" borderId="1" applyAlignment="1" pivotButton="0" quotePrefix="0" xfId="0">
      <alignment horizontal="center" wrapText="1"/>
    </xf>
    <xf numFmtId="0" fontId="0" fillId="0" borderId="1" applyAlignment="1" pivotButton="0" quotePrefix="0" xfId="0">
      <alignment horizontal="left" wrapText="1"/>
    </xf>
    <xf numFmtId="0" fontId="0" fillId="0" borderId="1"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Proyección de Ingresos por Año</a:t>
            </a:r>
          </a:p>
        </rich>
      </tx>
    </title>
    <plotArea>
      <barChart>
        <barDir val="col"/>
        <grouping val="clustered"/>
        <ser>
          <idx val="0"/>
          <order val="0"/>
          <tx>
            <strRef>
              <f>'Proyecciones Financieras'!B3</f>
            </strRef>
          </tx>
          <spPr>
            <a:ln xmlns:a="http://schemas.openxmlformats.org/drawingml/2006/main">
              <a:prstDash val="solid"/>
            </a:ln>
          </spPr>
          <cat>
            <numRef>
              <f>'Proyecciones Financieras'!$A$4:$A$8</f>
            </numRef>
          </cat>
          <val>
            <numRef>
              <f>'Proyecciones Financieras'!$B$4:$B$8</f>
            </numRef>
          </val>
        </ser>
        <ser>
          <idx val="1"/>
          <order val="1"/>
          <tx>
            <strRef>
              <f>'Proyecciones Financieras'!C3</f>
            </strRef>
          </tx>
          <spPr>
            <a:ln xmlns:a="http://schemas.openxmlformats.org/drawingml/2006/main">
              <a:prstDash val="solid"/>
            </a:ln>
          </spPr>
          <cat>
            <numRef>
              <f>'Proyecciones Financieras'!$A$4:$A$8</f>
            </numRef>
          </cat>
          <val>
            <numRef>
              <f>'Proyecciones Financieras'!$C$4:$C$8</f>
            </numRef>
          </val>
        </ser>
        <ser>
          <idx val="2"/>
          <order val="2"/>
          <tx>
            <strRef>
              <f>'Proyecciones Financieras'!D3</f>
            </strRef>
          </tx>
          <spPr>
            <a:ln xmlns:a="http://schemas.openxmlformats.org/drawingml/2006/main">
              <a:prstDash val="solid"/>
            </a:ln>
          </spPr>
          <cat>
            <numRef>
              <f>'Proyecciones Financieras'!$A$4:$A$8</f>
            </numRef>
          </cat>
          <val>
            <numRef>
              <f>'Proyecciones Financieras'!$D$4:$D$8</f>
            </numRef>
          </val>
        </ser>
        <ser>
          <idx val="3"/>
          <order val="3"/>
          <tx>
            <strRef>
              <f>'Proyecciones Financieras'!E3</f>
            </strRef>
          </tx>
          <spPr>
            <a:ln xmlns:a="http://schemas.openxmlformats.org/drawingml/2006/main">
              <a:prstDash val="solid"/>
            </a:ln>
          </spPr>
          <cat>
            <numRef>
              <f>'Proyecciones Financieras'!$A$4:$A$8</f>
            </numRef>
          </cat>
          <val>
            <numRef>
              <f>'Proyecciones Financieras'!$E$4:$E$8</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Año</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Ingresos ($)</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Distribución de Costos - Año 1</a:t>
            </a:r>
          </a:p>
        </rich>
      </tx>
    </title>
    <plotArea>
      <pieChart>
        <varyColors val="1"/>
        <ser>
          <idx val="0"/>
          <order val="0"/>
          <tx>
            <strRef>
              <f>'Estructura de Costos'!A4</f>
            </strRef>
          </tx>
          <spPr>
            <a:ln xmlns:a="http://schemas.openxmlformats.org/drawingml/2006/main">
              <a:prstDash val="solid"/>
            </a:ln>
          </spPr>
          <cat>
            <numRef>
              <f>'Estructura de Costos'!$A$4:$A$7</f>
            </numRef>
          </cat>
          <val>
            <numRef>
              <f>'Estructura de Costos'!$A$5:$A$7</f>
            </numRef>
          </val>
        </ser>
        <ser>
          <idx val="1"/>
          <order val="1"/>
          <tx>
            <strRef>
              <f>'Estructura de Costos'!B4</f>
            </strRef>
          </tx>
          <spPr>
            <a:ln xmlns:a="http://schemas.openxmlformats.org/drawingml/2006/main">
              <a:prstDash val="solid"/>
            </a:ln>
          </spPr>
          <cat>
            <numRef>
              <f>'Estructura de Costos'!$A$4:$A$7</f>
            </numRef>
          </cat>
          <val>
            <numRef>
              <f>'Estructura de Costos'!$B$5:$B$7</f>
            </numRef>
          </val>
        </ser>
        <ser>
          <idx val="2"/>
          <order val="2"/>
          <tx>
            <strRef>
              <f>'Estructura de Costos'!C4</f>
            </strRef>
          </tx>
          <spPr>
            <a:ln xmlns:a="http://schemas.openxmlformats.org/drawingml/2006/main">
              <a:prstDash val="solid"/>
            </a:ln>
          </spPr>
          <cat>
            <numRef>
              <f>'Estructura de Costos'!$A$4:$A$7</f>
            </numRef>
          </cat>
          <val>
            <numRef>
              <f>'Estructura de Costos'!$C$5:$C$7</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drawing1.xml><?xml version="1.0" encoding="utf-8"?>
<wsDr xmlns="http://schemas.openxmlformats.org/drawingml/2006/spreadsheetDrawing">
  <oneCellAnchor>
    <from>
      <col>0</col>
      <colOff>0</colOff>
      <row>9</row>
      <rowOff>0</rowOff>
    </from>
    <ext cx="540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0</col>
      <colOff>0</colOff>
      <row>9</row>
      <rowOff>0</rowOff>
    </from>
    <ext cx="360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PlanOperativo" displayName="PlanOperativo" ref="A4:D14" headerRowCount="1">
  <autoFilter ref="A4:D14"/>
  <tableColumns count="4">
    <tableColumn id="1" name="Objetivo"/>
    <tableColumn id="2" name="Estrategia"/>
    <tableColumn id="3" name="Timeline"/>
    <tableColumn id="4" name="Recurso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40" customWidth="1" min="1" max="1"/>
    <col width="40" customWidth="1" min="2" max="2"/>
    <col width="40" customWidth="1" min="3" max="3"/>
    <col width="40" customWidth="1" min="4" max="4"/>
  </cols>
  <sheetData>
    <row r="1" ht="30" customHeight="1">
      <c r="A1" s="1" t="inlineStr">
        <is>
          <t>PLAN OPERATIVO ESTRATÉGICO - ECOSISTEMA DE MARKETING CON IA</t>
        </is>
      </c>
    </row>
    <row r="2" ht="20" customHeight="1">
      <c r="A2" s="2" t="inlineStr">
        <is>
          <t>Generado: 22/11/2025</t>
        </is>
      </c>
    </row>
    <row r="4">
      <c r="A4" s="3" t="inlineStr">
        <is>
          <t>Objetivo</t>
        </is>
      </c>
      <c r="B4" s="3" t="inlineStr">
        <is>
          <t>Estrategia</t>
        </is>
      </c>
      <c r="C4" s="3" t="inlineStr">
        <is>
          <t>Timeline</t>
        </is>
      </c>
      <c r="D4" s="3" t="inlineStr">
        <is>
          <t>Recursos</t>
        </is>
      </c>
    </row>
    <row r="5" ht="60" customHeight="1">
      <c r="A5" s="4" t="inlineStr">
        <is>
          <t>Alcanzar $465,000 en ingresos en el Año 1</t>
        </is>
      </c>
      <c r="B5" s="4" t="inlineStr">
        <is>
          <t>Implementar modelo de ingresos diversificado con 300 estudiantes de curso ($225K), 4,500 asistentes a webinars ($75K), 750 usuarios SaaS ($105K) y 60 proyectos de servicios ($60K). Desarrollar embudos de conversión optimizados para cada canal de ingresos con tasas de conversión objetivo del 15% para freemium a pago y 20% para webinar a curso.</t>
        </is>
      </c>
      <c r="C5" s="4" t="inlineStr">
        <is>
          <t>Meses 1-12</t>
        </is>
      </c>
      <c r="D5" s="4" t="inlineStr">
        <is>
          <t>Presupuesto de marketing: $120,000 (40% contenido, 25% redes sociales, 20% publicidad pagada, 10% email, 5% asociaciones). Equipo de ventas: 2 representantes de ventas internas, 1 ejecutivo de cuentas. Tecnología: Plataforma SaaS MVP, sistema CRM, herramientas de analytics.</t>
        </is>
      </c>
    </row>
    <row r="6" ht="60" customHeight="1">
      <c r="A6" s="5" t="inlineStr">
        <is>
          <t>Establecer base de usuarios de 10,000 registros en plataforma SaaS</t>
        </is>
      </c>
      <c r="B6" s="5" t="inlineStr">
        <is>
          <t>Ejecutar estrategia de crecimiento orgánico y pagado con enfoque en marketing de contenido (40% presupuesto), SEO para palabras clave de cola larga, programa freemium con características limitadas, y campañas de referidos con incentivos del 20%. Implementar onboarding automatizado que reduzca tiempo de activación a menos de 24 horas.</t>
        </is>
      </c>
      <c r="C6" s="5" t="inlineStr">
        <is>
          <t>Meses 1-12</t>
        </is>
      </c>
      <c r="D6" s="5" t="inlineStr">
        <is>
          <t>Equipo de marketing: 1 gerente de marketing de contenido, 1 especialista SEO, 1 diseñador. Herramientas: HubSpot o equivalente ($800/mes), Google Analytics, herramientas SEO ($200/mes). Presupuesto de publicidad: $24,000 anual para Google Ads, LinkedIn Ads y Facebook Ads.</t>
        </is>
      </c>
    </row>
    <row r="7" ht="60" customHeight="1">
      <c r="A7" s="4" t="inlineStr">
        <is>
          <t>Lograr punto de equilibrio operativo en el Mes 18</t>
        </is>
      </c>
      <c r="B7" s="4" t="inlineStr">
        <is>
          <t>Optimizar estructura de costos manteniendo costos de personal al 40% de ingresos, tecnología al 25%, marketing al 20% y operaciones al 10%. Implementar automatización de procesos para reducir costos operativos. Establecer métricas de eficiencia: CAC &lt;$50, LTV &gt;$500, ratio LTV:CAC de 10:1. Reducir tasa de abandono mensual a menos del 5%.</t>
        </is>
      </c>
      <c r="C7" s="4" t="inlineStr">
        <is>
          <t>Meses 1-18</t>
        </is>
      </c>
      <c r="D7" s="4" t="inlineStr">
        <is>
          <t>Equipo financiero: CFO o consultor financiero part-time ($3,000/mes). Herramientas de automatización: Zapier o Make.com ($500/mes), herramientas de gestión de proyectos ($200/mes). Sistema de analytics financiero: QuickBooks o equivalente ($100/mes).</t>
        </is>
      </c>
    </row>
    <row r="8" ht="60" customHeight="1">
      <c r="A8" s="5" t="inlineStr">
        <is>
          <t>Expandir a mercado latinoamericano con presencia en México, Colombia y Argentina</t>
        </is>
      </c>
      <c r="B8" s="5" t="inlineStr">
        <is>
          <t>Desarrollar estrategia de localización: traducción de contenido y plataforma a español, adaptación cultural de materiales de marketing, integración de métodos de pago locales (transferencias bancarias, pagos en efectivo), cumplimiento regulatorio GDPR y normativas locales. Establecer alianzas estratégicas con agencias locales y programas de referidos regionales.</t>
        </is>
      </c>
      <c r="C8" s="5" t="inlineStr">
        <is>
          <t>Meses 6-18</t>
        </is>
      </c>
      <c r="D8" s="5" t="inlineStr">
        <is>
          <t>Equipo de expansión: 1 gerente de expansión internacional, 1 traductor/copywriter nativo ($2,000/mes). Presupuesto de localización: $15,000 (traducción, adaptación, legal). Presupuesto de marketing regional: $30,000. Asociaciones: Presupuesto de $10,000 para desarrollo de alianzas.</t>
        </is>
      </c>
    </row>
    <row r="9" ht="60" customHeight="1">
      <c r="A9" s="4" t="inlineStr">
        <is>
          <t>Desarrollar y lanzar plataforma SaaS con 50+ integraciones y características de IA avanzadas</t>
        </is>
      </c>
      <c r="B9" s="4" t="inlineStr">
        <is>
          <t>Ejecutar roadmap de desarrollo en fases: Fase 1 (Meses 1-3): MVP con generación de contenido básica y 10 integraciones principales. Fase 2 (Meses 4-6): Características avanzadas de personalización, analytics dashboard, 25 integraciones adicionales. Fase 3 (Meses 7-12): IA avanzada con fine-tuning personalizado, 50+ integraciones, características empresariales. Implementar CI/CD, testing automatizado con 90%+ cobertura de código.</t>
        </is>
      </c>
      <c r="C9" s="4" t="inlineStr">
        <is>
          <t>Meses 1-12</t>
        </is>
      </c>
      <c r="D9" s="4" t="inlineStr">
        <is>
          <t>Equipo de ingeniería: 3 desarrolladores full-stack ($15,000/mes total), 1 ingeniero de DevOps ($8,000/mes), 1 diseñador UX/UI ($6,000/mes). Infraestructura: AWS con Kubernetes ($2,000/mes inicial, escalando a $5,000/mes). Herramientas de desarrollo: GitHub, CI/CD tools, monitoring tools ($500/mes).</t>
        </is>
      </c>
    </row>
    <row r="10" ht="60" customHeight="1">
      <c r="A10" s="5" t="inlineStr">
        <is>
          <t>Establecer programa de educación con 300 estudiantes en Año 1</t>
        </is>
      </c>
      <c r="B10" s="5" t="inlineStr">
        <is>
          <t>Crear curso de 12 semanas con 50+ lecciones en video, ejercicios prácticos, proyectos del mundo real y certificación de industria. Desarrollar estrategia de lanzamiento: programa beta con 100 estudiantes (Meses 1-2), lanzamiento público con pricing early bird de $497 (Mes 3), escalamiento a precio regular de $997. Implementar plataforma de aprendizaje con características de comunidad, foros de discusión y acceso de por vida.</t>
        </is>
      </c>
      <c r="C10" s="5" t="inlineStr">
        <is>
          <t>Meses 1-12</t>
        </is>
      </c>
      <c r="D10" s="5" t="inlineStr">
        <is>
          <t>Equipo de educación: 1 director de educación ($8,000/mes), 2 instructores especializados ($6,000/mes total), 1 productor de video ($4,000/mes). Plataforma LMS: Thinkific o Teachable ($200/mes). Equipamiento de producción: Cámaras, iluminación, edición ($5,000 inicial). Marketing del curso: $30,000 del presupuesto de marketing.</t>
        </is>
      </c>
    </row>
    <row r="11" ht="60" customHeight="1">
      <c r="A11" s="4" t="inlineStr">
        <is>
          <t>Construir base de clientes empresariales con 15% de usuarios en plan Enterprise</t>
        </is>
      </c>
      <c r="B11" s="4" t="inlineStr">
        <is>
          <t>Desarrollar características empresariales: SSO, RBAC avanzado, API completa, SLA de 99.9%, soporte prioritario, gestión de cuentas dedicada. Implementar estrategia de ventas ABM (Account-Based Marketing) dirigida a empresas de 500+ empleados. Crear casos de estudio y testimonios de clientes empresariales. Establecer programa de clientes de referencia con incentivos.</t>
        </is>
      </c>
      <c r="C11" s="4" t="inlineStr">
        <is>
          <t>Meses 6-18</t>
        </is>
      </c>
      <c r="D11" s="4" t="inlineStr">
        <is>
          <t>Equipo de ventas empresariales: 1 ejecutivo de cuentas empresariales ($10,000/mes + comisiones), 1 ingeniero de ventas ($8,000/mes). Desarrollo de características empresariales: 1 desarrollador adicional ($8,000/mes por 6 meses). Presupuesto de marketing B2B: $20,000. Herramientas: CRM empresarial, herramientas de ABM ($1,000/mes).</t>
        </is>
      </c>
    </row>
    <row r="12" ht="60" customHeight="1">
      <c r="A12" s="5" t="inlineStr">
        <is>
          <t>Alcanzar reconocimiento de marca del 25% en segmentos objetivo</t>
        </is>
      </c>
      <c r="B12" s="5" t="inlineStr">
        <is>
          <t>Ejecutar estrategia de thought leadership: publicación de 3 artículos de blog por semana, participación en 12 webinars como anfitrión, apariciones en 6 podcasts de la industria, publicación de 2 reportes de investigación anuales. Desarrollar programa de contenido educativo que posicione a la empresa como autoridad en marketing con IA. Establecer presencia activa en LinkedIn, Twitter y comunidades de la industria.</t>
        </is>
      </c>
      <c r="C12" s="5" t="inlineStr">
        <is>
          <t>Meses 1-12</t>
        </is>
      </c>
      <c r="D12" s="5" t="inlineStr">
        <is>
          <t>Equipo de contenido: 1 gerente de contenido ($7,000/mes), 1 escritor de contenido ($4,000/mes), 1 diseñador gráfico ($5,000/mes). Presupuesto de PR y relaciones públicas: $15,000. Herramientas de diseño: Adobe Creative Suite ($600/mes). Plataforma de publicación: WordPress o equivalente ($100/mes).</t>
        </is>
      </c>
    </row>
    <row r="13" ht="60" customHeight="1">
      <c r="A13" s="4" t="inlineStr">
        <is>
          <t>Implementar programa de asociaciones estratégicas con 20 partners activos</t>
        </is>
      </c>
      <c r="B13" s="4" t="inlineStr">
        <is>
          <t>Desarrollar programas de partners: agencias de marketing (white-label y referidos), herramientas complementarias (integraciones mutuas), consultores (programa de afiliados con 20% comisión), plataformas educativas (distribución de contenido). Crear portal de partners con recursos, materiales de marketing y tracking de comisiones. Establecer objetivos de ingresos de partners: 15% de ingresos totales en Año 1.</t>
        </is>
      </c>
      <c r="C13" s="4" t="inlineStr">
        <is>
          <t>Meses 3-12</t>
        </is>
      </c>
      <c r="D13" s="4" t="inlineStr">
        <is>
          <t>Equipo de partnerships: 1 gerente de partnerships ($8,000/mes). Desarrollo de portal: 1 desarrollador part-time ($4,000/mes por 3 meses). Presupuesto de programa: $20,000 (eventos, materiales, incentivos). Herramientas: Plataforma de gestión de partners ($500/mes).</t>
        </is>
      </c>
    </row>
    <row r="14" ht="60" customHeight="1">
      <c r="A14" s="5" t="inlineStr">
        <is>
          <t>Establecer operaciones escalables con automatización del 60% de procesos</t>
        </is>
      </c>
      <c r="B14" s="5" t="inlineStr">
        <is>
          <t>Implementar automatización en: onboarding de clientes (flujos de trabajo automatizados), soporte al cliente (chatbot con IA para preguntas frecuentes, escalamiento automático), marketing (email marketing automatizado, segmentación dinámica), ventas (calificación de leads, seguimiento automatizado), operaciones (facturación, reportes, analytics). Reducir tiempo de respuesta a clientes a menos de 2 horas y tiempo de resolución a menos de 24 horas.</t>
        </is>
      </c>
      <c r="C14" s="5" t="inlineStr">
        <is>
          <t>Meses 1-12</t>
        </is>
      </c>
      <c r="D14" s="5" t="inlineStr">
        <is>
          <t>Equipo de automatización: 1 especialista en automatización ($7,000/mes), consultoría de procesos ($10,000). Herramientas: Zapier/Make.com ($500/mes), chatbot platform ($300/mes), herramientas de automatización de marketing ($800/mes), RPA tools si es necesario ($1,000/mes). Desarrollo interno: 20% del tiempo del equipo de ingeniería.</t>
        </is>
      </c>
    </row>
  </sheetData>
  <mergeCells count="2">
    <mergeCell ref="A1:D1"/>
    <mergeCell ref="A2:D2"/>
  </mergeCells>
  <pageMargins left="0.5" right="0.5" top="0.75" bottom="0.75" header="0.5" footer="0.5"/>
  <pageSetup orientation="landscape" paperSize="9" fitToHeight="0" fitToWidth="1"/>
  <headerFooter>
    <oddHeader>&amp;C&amp;F</oddHeader>
    <oddFooter>&amp;CPágina &amp;P de &amp;N</oddFooter>
    <evenHeader/>
    <evenFooter/>
    <firstHeader/>
    <firstFooter/>
  </headerFooter>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10" customWidth="1" min="1" max="1"/>
    <col width="18" customWidth="1" min="2" max="2"/>
    <col width="18" customWidth="1" min="3" max="3"/>
    <col width="18" customWidth="1" min="4" max="4"/>
    <col width="18" customWidth="1" min="5" max="5"/>
    <col width="18" customWidth="1" min="6" max="6"/>
  </cols>
  <sheetData>
    <row r="1" ht="25" customHeight="1">
      <c r="A1" s="6" t="inlineStr">
        <is>
          <t>PROYECCIONES FINANCIERAS - AÑOS 1-5</t>
        </is>
      </c>
    </row>
    <row r="3">
      <c r="A3" s="7" t="inlineStr">
        <is>
          <t>Año</t>
        </is>
      </c>
      <c r="B3" s="7" t="inlineStr">
        <is>
          <t>Ingresos Curso</t>
        </is>
      </c>
      <c r="C3" s="7" t="inlineStr">
        <is>
          <t>Ingresos Webinars</t>
        </is>
      </c>
      <c r="D3" s="7" t="inlineStr">
        <is>
          <t>Ingresos SaaS</t>
        </is>
      </c>
      <c r="E3" s="7" t="inlineStr">
        <is>
          <t>Ingresos Servicios</t>
        </is>
      </c>
      <c r="F3" s="7" t="inlineStr">
        <is>
          <t>Total Ingresos</t>
        </is>
      </c>
    </row>
    <row r="4">
      <c r="A4" s="8" t="n">
        <v>1</v>
      </c>
      <c r="B4" s="9" t="n">
        <v>225000</v>
      </c>
      <c r="C4" s="9" t="n">
        <v>75000</v>
      </c>
      <c r="D4" s="9" t="n">
        <v>105000</v>
      </c>
      <c r="E4" s="9" t="n">
        <v>60000</v>
      </c>
      <c r="F4" s="10">
        <f>SUM(B4:E4)</f>
        <v/>
      </c>
    </row>
    <row r="5">
      <c r="A5" s="8" t="n">
        <v>2</v>
      </c>
      <c r="B5" s="9" t="n">
        <v>600000</v>
      </c>
      <c r="C5" s="9" t="n">
        <v>200000</v>
      </c>
      <c r="D5" s="9" t="n">
        <v>1000000</v>
      </c>
      <c r="E5" s="9" t="n">
        <v>150000</v>
      </c>
      <c r="F5" s="10">
        <f>SUM(B5:E5)</f>
        <v/>
      </c>
    </row>
    <row r="6">
      <c r="A6" s="8" t="n">
        <v>3</v>
      </c>
      <c r="B6" s="9" t="n">
        <v>1200000</v>
      </c>
      <c r="C6" s="9" t="n">
        <v>400000</v>
      </c>
      <c r="D6" s="9" t="n">
        <v>2400000</v>
      </c>
      <c r="E6" s="9" t="n">
        <v>200000</v>
      </c>
      <c r="F6" s="10">
        <f>SUM(B6:E6)</f>
        <v/>
      </c>
    </row>
    <row r="7">
      <c r="A7" s="8" t="n">
        <v>4</v>
      </c>
      <c r="B7" s="9" t="n">
        <v>2000000</v>
      </c>
      <c r="C7" s="9" t="n">
        <v>600000</v>
      </c>
      <c r="D7" s="9" t="n">
        <v>4800000</v>
      </c>
      <c r="E7" s="9" t="n">
        <v>400000</v>
      </c>
      <c r="F7" s="10">
        <f>SUM(B7:E7)</f>
        <v/>
      </c>
    </row>
    <row r="8">
      <c r="A8" s="8" t="n">
        <v>5</v>
      </c>
      <c r="B8" s="9" t="n">
        <v>3000000</v>
      </c>
      <c r="C8" s="9" t="n">
        <v>800000</v>
      </c>
      <c r="D8" s="9" t="n">
        <v>8000000</v>
      </c>
      <c r="E8" s="9" t="n">
        <v>700000</v>
      </c>
      <c r="F8" s="10">
        <f>SUM(B8:E8)</f>
        <v/>
      </c>
    </row>
  </sheetData>
  <mergeCells count="1">
    <mergeCell ref="A1:F1"/>
  </mergeCells>
  <pageMargins left="0.5" right="0.5" top="0.75" bottom="0.75" header="0.5" footer="0.5"/>
  <pageSetup orientation="landscape" paperSize="9" fitToHeight="0" fitToWidth="1"/>
  <headerFooter>
    <oddHeader>&amp;C&amp;F</oddHeader>
    <oddFooter>&amp;CPágina &amp;P de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20" customWidth="1" min="1" max="1"/>
    <col width="18" customWidth="1" min="2" max="2"/>
    <col width="18" customWidth="1" min="3" max="3"/>
    <col width="15" customWidth="1" min="4" max="4"/>
    <col width="40" customWidth="1" min="5" max="5"/>
  </cols>
  <sheetData>
    <row r="1" ht="25" customHeight="1">
      <c r="A1" s="6" t="inlineStr">
        <is>
          <t>ESTRUCTURA DE COSTOS - AÑO 1</t>
        </is>
      </c>
    </row>
    <row r="3">
      <c r="A3" s="7" t="inlineStr">
        <is>
          <t>Categoría</t>
        </is>
      </c>
      <c r="B3" s="7" t="inlineStr">
        <is>
          <t>Costo Mensual</t>
        </is>
      </c>
      <c r="C3" s="7" t="inlineStr">
        <is>
          <t>Costo Anual</t>
        </is>
      </c>
      <c r="D3" s="7" t="inlineStr">
        <is>
          <t>% de Ingresos</t>
        </is>
      </c>
      <c r="E3" s="7" t="inlineStr">
        <is>
          <t>Notas</t>
        </is>
      </c>
    </row>
    <row r="4">
      <c r="A4" s="8" t="inlineStr">
        <is>
          <t>Personal</t>
        </is>
      </c>
      <c r="B4" s="11" t="n">
        <v>15500</v>
      </c>
      <c r="C4" s="11" t="n">
        <v>186000</v>
      </c>
      <c r="D4" s="12">
        <f>B4/465000</f>
        <v/>
      </c>
      <c r="E4" s="13" t="inlineStr">
        <is>
          <t>40% de ingresos proyectados</t>
        </is>
      </c>
    </row>
    <row r="5">
      <c r="A5" s="8" t="inlineStr">
        <is>
          <t>Tecnología</t>
        </is>
      </c>
      <c r="B5" s="11" t="n">
        <v>9687.5</v>
      </c>
      <c r="C5" s="11" t="n">
        <v>116250</v>
      </c>
      <c r="D5" s="12">
        <f>B5/465000</f>
        <v/>
      </c>
      <c r="E5" s="13" t="inlineStr">
        <is>
          <t>25% de ingresos proyectados</t>
        </is>
      </c>
    </row>
    <row r="6">
      <c r="A6" s="8" t="inlineStr">
        <is>
          <t>Marketing</t>
        </is>
      </c>
      <c r="B6" s="11" t="n">
        <v>7750</v>
      </c>
      <c r="C6" s="11" t="n">
        <v>93000</v>
      </c>
      <c r="D6" s="12">
        <f>B6/465000</f>
        <v/>
      </c>
      <c r="E6" s="13" t="inlineStr">
        <is>
          <t>20% de ingresos proyectados</t>
        </is>
      </c>
    </row>
    <row r="7">
      <c r="A7" s="8" t="inlineStr">
        <is>
          <t>Operaciones</t>
        </is>
      </c>
      <c r="B7" s="11" t="n">
        <v>3875</v>
      </c>
      <c r="C7" s="11" t="n">
        <v>46500</v>
      </c>
      <c r="D7" s="12">
        <f>B7/465000</f>
        <v/>
      </c>
      <c r="E7" s="13" t="inlineStr">
        <is>
          <t>10% de ingresos proyectados</t>
        </is>
      </c>
    </row>
    <row r="8">
      <c r="A8" s="14" t="inlineStr">
        <is>
          <t>Total</t>
        </is>
      </c>
      <c r="B8" s="15">
        <f>SUM(B4:B7)</f>
        <v/>
      </c>
      <c r="C8" s="15">
        <f>SUM(C4:C7)</f>
        <v/>
      </c>
      <c r="D8" s="16">
        <f>SUM(D4:D7)</f>
        <v/>
      </c>
      <c r="E8" s="17" t="inlineStr"/>
    </row>
  </sheetData>
  <mergeCells count="1">
    <mergeCell ref="A1:E1"/>
  </mergeCells>
  <pageMargins left="0.5" right="0.5" top="0.75" bottom="0.75" header="0.5" footer="0.5"/>
  <pageSetup orientation="landscape" paperSize="9" fitToHeight="0" fitToWidth="1"/>
  <headerFooter>
    <oddHeader>&amp;C&amp;F</oddHeader>
    <oddFooter>&amp;CPágina &amp;P de &amp;N</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5" customWidth="1" min="1" max="1"/>
    <col width="20" customWidth="1" min="2" max="2"/>
    <col width="15" customWidth="1" min="3" max="3"/>
    <col width="20" customWidth="1" min="4" max="4"/>
  </cols>
  <sheetData>
    <row r="1" ht="25" customHeight="1">
      <c r="A1" s="6" t="inlineStr">
        <is>
          <t>INDICADORES CLAVE DE RENDIMIENTO (KPIs)</t>
        </is>
      </c>
    </row>
    <row r="3">
      <c r="A3" s="7" t="inlineStr">
        <is>
          <t>KPI</t>
        </is>
      </c>
      <c r="B3" s="7" t="inlineStr">
        <is>
          <t>Objetivo Año 1</t>
        </is>
      </c>
      <c r="C3" s="7" t="inlineStr">
        <is>
          <t>Actual</t>
        </is>
      </c>
      <c r="D3" s="7" t="inlineStr">
        <is>
          <t>Estado</t>
        </is>
      </c>
    </row>
    <row r="4">
      <c r="A4" s="18" t="inlineStr">
        <is>
          <t>Ingresos Totales (ARR)</t>
        </is>
      </c>
      <c r="B4" s="19" t="n">
        <v>465000</v>
      </c>
      <c r="C4" s="19" t="inlineStr"/>
      <c r="D4" s="20">
        <f>IF(C4&gt;=B4,"✓ Cumplido","En Progreso")</f>
        <v/>
      </c>
    </row>
    <row r="5">
      <c r="A5" s="21" t="inlineStr">
        <is>
          <t>Usuarios Registrados SaaS</t>
        </is>
      </c>
      <c r="B5" s="8" t="n">
        <v>10000</v>
      </c>
      <c r="C5" s="8" t="inlineStr"/>
      <c r="D5" s="20">
        <f>IF(C5&gt;=B5,"✓ Cumplido","En Progreso")</f>
        <v/>
      </c>
    </row>
    <row r="6">
      <c r="A6" s="18" t="inlineStr">
        <is>
          <t>Estudiantes del Curso</t>
        </is>
      </c>
      <c r="B6" s="19" t="n">
        <v>300</v>
      </c>
      <c r="C6" s="19" t="inlineStr"/>
      <c r="D6" s="20">
        <f>IF(C6&gt;=B6,"✓ Cumplido","En Progreso")</f>
        <v/>
      </c>
    </row>
    <row r="7">
      <c r="A7" s="21" t="inlineStr">
        <is>
          <t>CAC (Costo Adquisición Cliente)</t>
        </is>
      </c>
      <c r="B7" s="8" t="n">
        <v>50</v>
      </c>
      <c r="C7" s="8" t="inlineStr"/>
      <c r="D7" s="20">
        <f>IF(C7&lt;=B7,"✓ Cumplido","Revisar")</f>
        <v/>
      </c>
    </row>
    <row r="8">
      <c r="A8" s="18" t="inlineStr">
        <is>
          <t>LTV (Valor Vida Cliente)</t>
        </is>
      </c>
      <c r="B8" s="19" t="n">
        <v>500</v>
      </c>
      <c r="C8" s="19" t="inlineStr"/>
      <c r="D8" s="20">
        <f>IF(C8&gt;=B8,"✓ Cumplido","En Progreso")</f>
        <v/>
      </c>
    </row>
    <row r="9">
      <c r="A9" s="21" t="inlineStr">
        <is>
          <t>Ratio LTV:CAC</t>
        </is>
      </c>
      <c r="B9" s="8" t="n">
        <v>10</v>
      </c>
      <c r="C9" s="8" t="inlineStr"/>
      <c r="D9" s="20">
        <f>IF(C9&gt;=B9,"✓ Cumplido","Revisar")</f>
        <v/>
      </c>
    </row>
    <row r="10">
      <c r="A10" s="18" t="inlineStr">
        <is>
          <t>Tasa de Conversión Freemium</t>
        </is>
      </c>
      <c r="B10" s="19" t="inlineStr">
        <is>
          <t>15%</t>
        </is>
      </c>
      <c r="C10" s="19" t="inlineStr"/>
      <c r="D10" s="20">
        <f>IF(C10&gt;=0.15,"✓ Cumplido","En Progreso")</f>
        <v/>
      </c>
    </row>
    <row r="11">
      <c r="A11" s="21" t="inlineStr">
        <is>
          <t>Tasa de Retención Mensual</t>
        </is>
      </c>
      <c r="B11" s="8" t="inlineStr">
        <is>
          <t>95%</t>
        </is>
      </c>
      <c r="C11" s="8" t="inlineStr"/>
      <c r="D11" s="20">
        <f>IF(C11&gt;=0.95,"✓ Cumplido","Revisar")</f>
        <v/>
      </c>
    </row>
    <row r="12">
      <c r="A12" s="18" t="inlineStr">
        <is>
          <t>Tasa de Abandono Mensual</t>
        </is>
      </c>
      <c r="B12" s="19" t="inlineStr">
        <is>
          <t>5%</t>
        </is>
      </c>
      <c r="C12" s="19" t="inlineStr"/>
      <c r="D12" s="20">
        <f>IF(C12&lt;=0.05,"✓ Cumplido","Revisar")</f>
        <v/>
      </c>
    </row>
    <row r="13">
      <c r="A13" s="21" t="inlineStr">
        <is>
          <t>NPS (Net Promoter Score)</t>
        </is>
      </c>
      <c r="B13" s="8" t="n">
        <v>50</v>
      </c>
      <c r="C13" s="8" t="inlineStr"/>
      <c r="D13" s="20">
        <f>IF(C13&gt;=B13,"✓ Cumplido","En Progreso")</f>
        <v/>
      </c>
    </row>
    <row r="14">
      <c r="A14" s="18" t="inlineStr">
        <is>
          <t>Uptime Plataforma</t>
        </is>
      </c>
      <c r="B14" s="19" t="inlineStr">
        <is>
          <t>99.9%</t>
        </is>
      </c>
      <c r="C14" s="19" t="inlineStr"/>
      <c r="D14" s="20">
        <f>IF(C14&gt;=0.999,"✓ Cumplido","Revisar")</f>
        <v/>
      </c>
    </row>
    <row r="15">
      <c r="A15" s="21" t="inlineStr">
        <is>
          <t>Tiempo Activación Usuario (horas)</t>
        </is>
      </c>
      <c r="B15" s="8" t="n">
        <v>24</v>
      </c>
      <c r="C15" s="8" t="inlineStr"/>
      <c r="D15" s="20">
        <f>IF(C15&lt;=B15,"✓ Cumplido","Revisar")</f>
        <v/>
      </c>
    </row>
  </sheetData>
  <mergeCells count="1">
    <mergeCell ref="A1:D1"/>
  </mergeCells>
  <pageMargins left="0.5" right="0.5" top="0.75" bottom="0.75" header="0.5" footer="0.5"/>
  <pageSetup orientation="landscape" paperSize="9" fitToHeight="0" fitToWidth="1"/>
  <headerFooter>
    <oddHeader>&amp;C&amp;F</oddHeader>
    <oddFooter>&amp;CPágina &amp;P de &amp;N</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20" customWidth="1" min="8" max="8"/>
  </cols>
  <sheetData>
    <row r="1" ht="25" customHeight="1">
      <c r="A1" s="6" t="inlineStr">
        <is>
          <t>ROADMAP DE IMPLEMENTACIÓN - MESES 1-18</t>
        </is>
      </c>
    </row>
    <row r="3">
      <c r="A3" s="7" t="inlineStr">
        <is>
          <t>Mes</t>
        </is>
      </c>
      <c r="B3" s="7" t="inlineStr">
        <is>
          <t>Q1 (1-3)</t>
        </is>
      </c>
      <c r="C3" s="7" t="inlineStr">
        <is>
          <t>Q2 (4-6)</t>
        </is>
      </c>
      <c r="D3" s="7" t="inlineStr">
        <is>
          <t>Q3 (7-9)</t>
        </is>
      </c>
      <c r="E3" s="7" t="inlineStr">
        <is>
          <t>Q4 (10-12)</t>
        </is>
      </c>
      <c r="F3" s="7" t="inlineStr">
        <is>
          <t>Q5 (13-15)</t>
        </is>
      </c>
      <c r="G3" s="7" t="inlineStr">
        <is>
          <t>Q6 (16-18)</t>
        </is>
      </c>
      <c r="H3" s="7" t="inlineStr">
        <is>
          <t>Responsable</t>
        </is>
      </c>
    </row>
    <row r="4">
      <c r="A4" s="19" t="inlineStr">
        <is>
          <t>Desarrollo MVP Plataforma</t>
        </is>
      </c>
      <c r="B4" s="22" t="inlineStr">
        <is>
          <t>X</t>
        </is>
      </c>
      <c r="C4" s="22" t="inlineStr">
        <is>
          <t>X</t>
        </is>
      </c>
      <c r="D4" s="19" t="inlineStr"/>
      <c r="E4" s="19" t="inlineStr"/>
      <c r="F4" s="19" t="inlineStr"/>
      <c r="G4" s="19" t="inlineStr"/>
      <c r="H4" s="19" t="inlineStr">
        <is>
          <t>CTO</t>
        </is>
      </c>
    </row>
    <row r="5">
      <c r="A5" s="8" t="inlineStr">
        <is>
          <t>Lanzamiento Curso Beta</t>
        </is>
      </c>
      <c r="B5" s="22" t="inlineStr">
        <is>
          <t>X</t>
        </is>
      </c>
      <c r="C5" s="8" t="inlineStr"/>
      <c r="D5" s="8" t="inlineStr"/>
      <c r="E5" s="8" t="inlineStr"/>
      <c r="F5" s="8" t="inlineStr"/>
      <c r="G5" s="8" t="inlineStr"/>
      <c r="H5" s="8" t="inlineStr">
        <is>
          <t>Director Educación</t>
        </is>
      </c>
    </row>
    <row r="6">
      <c r="A6" s="19" t="inlineStr">
        <is>
          <t>Lanzamiento Público Curso</t>
        </is>
      </c>
      <c r="B6" s="19" t="inlineStr"/>
      <c r="C6" s="22" t="inlineStr">
        <is>
          <t>X</t>
        </is>
      </c>
      <c r="D6" s="19" t="inlineStr"/>
      <c r="E6" s="19" t="inlineStr"/>
      <c r="F6" s="19" t="inlineStr"/>
      <c r="G6" s="19" t="inlineStr"/>
      <c r="H6" s="19" t="inlineStr">
        <is>
          <t>Director Educación</t>
        </is>
      </c>
    </row>
    <row r="7">
      <c r="A7" s="8" t="inlineStr">
        <is>
          <t>Campaña Marketing Contenido</t>
        </is>
      </c>
      <c r="B7" s="8" t="inlineStr"/>
      <c r="C7" s="22" t="inlineStr">
        <is>
          <t>X</t>
        </is>
      </c>
      <c r="D7" s="22" t="inlineStr">
        <is>
          <t>X</t>
        </is>
      </c>
      <c r="E7" s="22" t="inlineStr">
        <is>
          <t>X</t>
        </is>
      </c>
      <c r="F7" s="22" t="inlineStr">
        <is>
          <t>X</t>
        </is>
      </c>
      <c r="G7" s="22" t="inlineStr">
        <is>
          <t>X</t>
        </is>
      </c>
      <c r="H7" s="8" t="inlineStr">
        <is>
          <t>CMO</t>
        </is>
      </c>
    </row>
    <row r="8">
      <c r="A8" s="19" t="inlineStr">
        <is>
          <t>Expansión Latinoamérica</t>
        </is>
      </c>
      <c r="B8" s="19" t="inlineStr"/>
      <c r="C8" s="19" t="inlineStr"/>
      <c r="D8" s="22" t="inlineStr">
        <is>
          <t>X</t>
        </is>
      </c>
      <c r="E8" s="22" t="inlineStr">
        <is>
          <t>X</t>
        </is>
      </c>
      <c r="F8" s="22" t="inlineStr">
        <is>
          <t>X</t>
        </is>
      </c>
      <c r="G8" s="22" t="inlineStr">
        <is>
          <t>X</t>
        </is>
      </c>
      <c r="H8" s="19" t="inlineStr">
        <is>
          <t>Gerente Expansión</t>
        </is>
      </c>
    </row>
    <row r="9">
      <c r="A9" s="8" t="inlineStr">
        <is>
          <t>Desarrollo Características Enterprise</t>
        </is>
      </c>
      <c r="B9" s="8" t="inlineStr"/>
      <c r="C9" s="8" t="inlineStr"/>
      <c r="D9" s="22" t="inlineStr">
        <is>
          <t>X</t>
        </is>
      </c>
      <c r="E9" s="22" t="inlineStr">
        <is>
          <t>X</t>
        </is>
      </c>
      <c r="F9" s="22" t="inlineStr">
        <is>
          <t>X</t>
        </is>
      </c>
      <c r="G9" s="8" t="inlineStr"/>
      <c r="H9" s="8" t="inlineStr">
        <is>
          <t>CTO</t>
        </is>
      </c>
    </row>
    <row r="10">
      <c r="A10" s="19" t="inlineStr">
        <is>
          <t>Programa de Partners</t>
        </is>
      </c>
      <c r="B10" s="19" t="inlineStr"/>
      <c r="C10" s="22" t="inlineStr">
        <is>
          <t>X</t>
        </is>
      </c>
      <c r="D10" s="22" t="inlineStr">
        <is>
          <t>X</t>
        </is>
      </c>
      <c r="E10" s="22" t="inlineStr">
        <is>
          <t>X</t>
        </is>
      </c>
      <c r="F10" s="22" t="inlineStr">
        <is>
          <t>X</t>
        </is>
      </c>
      <c r="G10" s="22" t="inlineStr">
        <is>
          <t>X</t>
        </is>
      </c>
      <c r="H10" s="19" t="inlineStr">
        <is>
          <t>Gerente Partnerships</t>
        </is>
      </c>
    </row>
    <row r="11">
      <c r="A11" s="8" t="inlineStr">
        <is>
          <t>Automatización Procesos</t>
        </is>
      </c>
      <c r="B11" s="22" t="inlineStr">
        <is>
          <t>X</t>
        </is>
      </c>
      <c r="C11" s="22" t="inlineStr">
        <is>
          <t>X</t>
        </is>
      </c>
      <c r="D11" s="22" t="inlineStr">
        <is>
          <t>X</t>
        </is>
      </c>
      <c r="E11" s="22" t="inlineStr">
        <is>
          <t>X</t>
        </is>
      </c>
      <c r="F11" s="8" t="inlineStr"/>
      <c r="G11" s="8" t="inlineStr"/>
      <c r="H11" s="8" t="inlineStr">
        <is>
          <t>COO</t>
        </is>
      </c>
    </row>
    <row r="12">
      <c r="A12" s="19" t="inlineStr">
        <is>
          <t>Punto de Equilibrio</t>
        </is>
      </c>
      <c r="B12" s="19" t="inlineStr"/>
      <c r="C12" s="19" t="inlineStr"/>
      <c r="D12" s="19" t="inlineStr"/>
      <c r="E12" s="19" t="inlineStr"/>
      <c r="F12" s="19" t="inlineStr"/>
      <c r="G12" s="22" t="inlineStr">
        <is>
          <t>X</t>
        </is>
      </c>
      <c r="H12" s="19" t="inlineStr">
        <is>
          <t>CFO</t>
        </is>
      </c>
    </row>
  </sheetData>
  <mergeCells count="1">
    <mergeCell ref="A1:H1"/>
  </mergeCells>
  <pageMargins left="0.5" right="0.5" top="0.75" bottom="0.75" header="0.5" footer="0.5"/>
  <pageSetup orientation="landscape" paperSize="9" fitToHeight="0" fitToWidth="1"/>
  <headerFooter>
    <oddHeader>&amp;C&amp;F</oddHeader>
    <oddFooter>&amp;CPágina &amp;P de &amp;N</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25" customWidth="1" min="1" max="1"/>
    <col width="30" customWidth="1" min="2" max="2"/>
    <col width="20" customWidth="1" min="3" max="3"/>
    <col width="25" customWidth="1" min="4" max="4"/>
    <col width="15" customWidth="1" min="5" max="5"/>
  </cols>
  <sheetData>
    <row r="1" ht="25" customHeight="1">
      <c r="A1" s="6" t="inlineStr">
        <is>
          <t>ASIGNACIÓN DE RECURSOS POR OBJETIVO</t>
        </is>
      </c>
    </row>
    <row r="3">
      <c r="A3" s="23" t="inlineStr">
        <is>
          <t>Objetivo</t>
        </is>
      </c>
      <c r="B3" s="23" t="inlineStr">
        <is>
          <t>Equipo</t>
        </is>
      </c>
      <c r="C3" s="23" t="inlineStr">
        <is>
          <t>Presupuesto</t>
        </is>
      </c>
      <c r="D3" s="23" t="inlineStr">
        <is>
          <t>Herramientas</t>
        </is>
      </c>
      <c r="E3" s="23" t="inlineStr">
        <is>
          <t>Tiempo Estimado</t>
        </is>
      </c>
    </row>
    <row r="4" ht="40" customHeight="1">
      <c r="A4" s="24" t="inlineStr">
        <is>
          <t>Ingresos Año 1</t>
        </is>
      </c>
      <c r="B4" s="25" t="inlineStr">
        <is>
          <t>2 Sales Reps, 1 Account Exec</t>
        </is>
      </c>
      <c r="C4" s="25" t="inlineStr">
        <is>
          <t>$120,000</t>
        </is>
      </c>
      <c r="D4" s="25" t="inlineStr">
        <is>
          <t>CRM, Analytics</t>
        </is>
      </c>
      <c r="E4" s="25" t="inlineStr">
        <is>
          <t>12 meses</t>
        </is>
      </c>
    </row>
    <row r="5" ht="40" customHeight="1">
      <c r="A5" s="26" t="inlineStr">
        <is>
          <t>10K Usuarios SaaS</t>
        </is>
      </c>
      <c r="B5" s="27" t="inlineStr">
        <is>
          <t>1 Content Mgr, 1 SEO, 1 Designer</t>
        </is>
      </c>
      <c r="C5" s="27" t="inlineStr">
        <is>
          <t>$24,000</t>
        </is>
      </c>
      <c r="D5" s="27" t="inlineStr">
        <is>
          <t>HubSpot, Google Analytics</t>
        </is>
      </c>
      <c r="E5" s="27" t="inlineStr">
        <is>
          <t>12 meses</t>
        </is>
      </c>
    </row>
    <row r="6" ht="40" customHeight="1">
      <c r="A6" s="24" t="inlineStr">
        <is>
          <t>Punto Equilibrio</t>
        </is>
      </c>
      <c r="B6" s="25" t="inlineStr">
        <is>
          <t>CFO Part-time</t>
        </is>
      </c>
      <c r="C6" s="25" t="inlineStr">
        <is>
          <t>$36,000</t>
        </is>
      </c>
      <c r="D6" s="25" t="inlineStr">
        <is>
          <t>QuickBooks, Zapier</t>
        </is>
      </c>
      <c r="E6" s="25" t="inlineStr">
        <is>
          <t>18 meses</t>
        </is>
      </c>
    </row>
    <row r="7" ht="40" customHeight="1">
      <c r="A7" s="26" t="inlineStr">
        <is>
          <t>Expansión LATAM</t>
        </is>
      </c>
      <c r="B7" s="27" t="inlineStr">
        <is>
          <t>1 Intl Mgr, 1 Translator</t>
        </is>
      </c>
      <c r="C7" s="27" t="inlineStr">
        <is>
          <t>$55,000</t>
        </is>
      </c>
      <c r="D7" s="27" t="inlineStr">
        <is>
          <t>Payment Gateways</t>
        </is>
      </c>
      <c r="E7" s="27" t="inlineStr">
        <is>
          <t>12 meses</t>
        </is>
      </c>
    </row>
    <row r="8" ht="40" customHeight="1">
      <c r="A8" s="24" t="inlineStr">
        <is>
          <t>Plataforma SaaS</t>
        </is>
      </c>
      <c r="B8" s="25" t="inlineStr">
        <is>
          <t>3 Devs, 1 DevOps, 1 UX/UI</t>
        </is>
      </c>
      <c r="C8" s="25" t="inlineStr">
        <is>
          <t>$29,000/mes</t>
        </is>
      </c>
      <c r="D8" s="25" t="inlineStr">
        <is>
          <t>AWS, GitHub, CI/CD</t>
        </is>
      </c>
      <c r="E8" s="25" t="inlineStr">
        <is>
          <t>12 meses</t>
        </is>
      </c>
    </row>
    <row r="9" ht="40" customHeight="1">
      <c r="A9" s="26" t="inlineStr">
        <is>
          <t>Curso Educación</t>
        </is>
      </c>
      <c r="B9" s="27" t="inlineStr">
        <is>
          <t>1 Dir Educ, 2 Instructors, 1 Producer</t>
        </is>
      </c>
      <c r="C9" s="27" t="inlineStr">
        <is>
          <t>$18,000/mes</t>
        </is>
      </c>
      <c r="D9" s="27" t="inlineStr">
        <is>
          <t>LMS Platform</t>
        </is>
      </c>
      <c r="E9" s="27" t="inlineStr">
        <is>
          <t>12 meses</t>
        </is>
      </c>
    </row>
    <row r="10" ht="40" customHeight="1">
      <c r="A10" s="24" t="inlineStr">
        <is>
          <t>Clientes Enterprise</t>
        </is>
      </c>
      <c r="B10" s="25" t="inlineStr">
        <is>
          <t>1 Enterprise AE, 1 Sales Eng</t>
        </is>
      </c>
      <c r="C10" s="25" t="inlineStr">
        <is>
          <t>$18,000/mes</t>
        </is>
      </c>
      <c r="D10" s="25" t="inlineStr">
        <is>
          <t>CRM Enterprise, ABM</t>
        </is>
      </c>
      <c r="E10" s="25" t="inlineStr">
        <is>
          <t>12 meses</t>
        </is>
      </c>
    </row>
    <row r="11" ht="40" customHeight="1">
      <c r="A11" s="26" t="inlineStr">
        <is>
          <t>Reconocimiento Marca</t>
        </is>
      </c>
      <c r="B11" s="27" t="inlineStr">
        <is>
          <t>1 Content Mgr, 1 Writer, 1 Designer</t>
        </is>
      </c>
      <c r="C11" s="27" t="inlineStr">
        <is>
          <t>$16,000/mes</t>
        </is>
      </c>
      <c r="D11" s="27" t="inlineStr">
        <is>
          <t>Adobe Suite, WordPress</t>
        </is>
      </c>
      <c r="E11" s="27" t="inlineStr">
        <is>
          <t>12 meses</t>
        </is>
      </c>
    </row>
    <row r="12" ht="40" customHeight="1">
      <c r="A12" s="24" t="inlineStr">
        <is>
          <t>Programa Partners</t>
        </is>
      </c>
      <c r="B12" s="25" t="inlineStr">
        <is>
          <t>1 Partnerships Mgr</t>
        </is>
      </c>
      <c r="C12" s="25" t="inlineStr">
        <is>
          <t>$8,000/mes + $20K</t>
        </is>
      </c>
      <c r="D12" s="25" t="inlineStr">
        <is>
          <t>Partner Portal</t>
        </is>
      </c>
      <c r="E12" s="25" t="inlineStr">
        <is>
          <t>9 meses</t>
        </is>
      </c>
    </row>
    <row r="13" ht="40" customHeight="1">
      <c r="A13" s="26" t="inlineStr">
        <is>
          <t>Automatización</t>
        </is>
      </c>
      <c r="B13" s="27" t="inlineStr">
        <is>
          <t>1 Automation Specialist</t>
        </is>
      </c>
      <c r="C13" s="27" t="inlineStr">
        <is>
          <t>$7,000/mes + $10K</t>
        </is>
      </c>
      <c r="D13" s="27" t="inlineStr">
        <is>
          <t>Zapier, Chatbot, RPA</t>
        </is>
      </c>
      <c r="E13" s="27" t="inlineStr">
        <is>
          <t>12 meses</t>
        </is>
      </c>
    </row>
  </sheetData>
  <mergeCells count="1">
    <mergeCell ref="A1:E1"/>
  </mergeCells>
  <pageMargins left="0.5" right="0.5" top="0.75" bottom="0.75" header="0.5" footer="0.5"/>
  <pageSetup orientation="landscape" paperSize="9" fitToHeight="0" fitToWidth="1"/>
  <headerFooter>
    <oddHeader>&amp;C&amp;F</oddHeader>
    <oddFooter>&amp;CPágina &amp;P de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2025-11-22T22:58:42Z</dcterms:created>
  <dcterms:modified xmlns:dcterms="http://purl.org/dc/terms/" xmlns:xsi="http://www.w3.org/2001/XMLSchema-instance" xsi:type="dcterms:W3CDTF">2025-11-22T22:58:42Z</dcterms:modified>
</cp:coreProperties>
</file>