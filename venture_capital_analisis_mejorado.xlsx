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jecutivo" sheetId="1" state="visible" r:id="rId1"/>
    <sheet xmlns:r="http://schemas.openxmlformats.org/officeDocument/2006/relationships" name="Cap Table" sheetId="2" state="visible" r:id="rId2"/>
    <sheet xmlns:r="http://schemas.openxmlformats.org/officeDocument/2006/relationships" name="Waterfall Analysis" sheetId="3" state="visible" r:id="rId3"/>
    <sheet xmlns:r="http://schemas.openxmlformats.org/officeDocument/2006/relationships" name="Term Sheet Analysis" sheetId="4" state="visible" r:id="rId4"/>
    <sheet xmlns:r="http://schemas.openxmlformats.org/officeDocument/2006/relationships" name="Valuation Multiples" sheetId="5" state="visible" r:id="rId5"/>
    <sheet xmlns:r="http://schemas.openxmlformats.org/officeDocument/2006/relationships" name="Rondas de Financiamiento" sheetId="6" state="visible" r:id="rId6"/>
    <sheet xmlns:r="http://schemas.openxmlformats.org/officeDocument/2006/relationships" name="Proyecciones Financieras" sheetId="7" state="visible" r:id="rId7"/>
    <sheet xmlns:r="http://schemas.openxmlformats.org/officeDocument/2006/relationships" name="Análisis de Ries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$#,##0"/>
  </numFmts>
  <fonts count="9">
    <font>
      <name val="Calibri"/>
      <family val="2"/>
      <color theme="1"/>
      <sz val="11"/>
      <scheme val="minor"/>
    </font>
    <font>
      <b val="1"/>
      <color rgb="001e3a8a"/>
      <sz val="18"/>
    </font>
    <font>
      <i val="1"/>
      <color rgb="00666666"/>
      <sz val="11"/>
    </font>
    <font>
      <b val="1"/>
      <color rgb="001e3a8a"/>
      <sz val="14"/>
    </font>
    <font>
      <b val="1"/>
      <color rgb="001e3a8a"/>
      <sz val="10"/>
    </font>
    <font>
      <i val="1"/>
      <color rgb="00666666"/>
      <sz val="9"/>
    </font>
    <font>
      <b val="1"/>
      <color rgb="00ffffff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e3a8a"/>
        <bgColor rgb="001e3a8a"/>
      </patternFill>
    </fill>
    <fill>
      <patternFill patternType="solid">
        <fgColor rgb="00f8f9fa"/>
        <bgColor rgb="00f8f9fa"/>
      </patternFill>
    </fill>
    <fill>
      <patternFill patternType="solid">
        <fgColor rgb="00cbd5e1"/>
        <bgColor rgb="00cbd5e1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fbbf24"/>
        <bgColor rgb="00fbbf2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164" fontId="0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 wrapText="1"/>
    </xf>
    <xf numFmtId="0" fontId="7" fillId="5" borderId="1" pivotButton="0" quotePrefix="0" xfId="0"/>
    <xf numFmtId="0" fontId="0" fillId="4" borderId="1" applyAlignment="1" pivotButton="0" quotePrefix="0" xfId="0">
      <alignment horizontal="left"/>
    </xf>
    <xf numFmtId="165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0" fontId="8" fillId="7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Ownership por Ronda</a:t>
            </a:r>
          </a:p>
        </rich>
      </tx>
    </title>
    <plotArea>
      <areaChart>
        <grouping val="standard"/>
        <ser>
          <idx val="0"/>
          <order val="0"/>
          <tx>
            <strRef>
              <f>'Cap Table'!B14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Table'!$B$14:$G$14</f>
            </numRef>
          </cat>
          <val>
            <numRef>
              <f>'Cap Table'!$B$15</f>
            </numRef>
          </val>
        </ser>
        <ser>
          <idx val="1"/>
          <order val="1"/>
          <tx>
            <strRef>
              <f>'Cap Table'!C14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Table'!$B$14:$G$14</f>
            </numRef>
          </cat>
          <val>
            <numRef>
              <f>'Cap Table'!$C$15</f>
            </numRef>
          </val>
        </ser>
        <ser>
          <idx val="2"/>
          <order val="2"/>
          <tx>
            <strRef>
              <f>'Cap Table'!D14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Table'!$B$14:$G$14</f>
            </numRef>
          </cat>
          <val>
            <numRef>
              <f>'Cap Table'!$D$15</f>
            </numRef>
          </val>
        </ser>
        <ser>
          <idx val="3"/>
          <order val="3"/>
          <tx>
            <strRef>
              <f>'Cap Table'!E14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Table'!$B$14:$G$14</f>
            </numRef>
          </cat>
          <val>
            <numRef>
              <f>'Cap Table'!$E$15</f>
            </numRef>
          </val>
        </ser>
        <ser>
          <idx val="4"/>
          <order val="4"/>
          <tx>
            <strRef>
              <f>'Cap Table'!F14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Table'!$B$14:$G$14</f>
            </numRef>
          </cat>
          <val>
            <numRef>
              <f>'Cap Table'!$F$15</f>
            </numRef>
          </val>
        </ser>
        <ser>
          <idx val="5"/>
          <order val="5"/>
          <tx>
            <strRef>
              <f>'Cap Table'!G14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 Table'!$B$14:$G$14</f>
            </numRef>
          </cat>
          <val>
            <numRef>
              <f>'Cap Table'!$G$15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Ronda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de Ownership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Waterfall Analysis - Distribución de Proceeds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'Waterfall Analysis'!H3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'Waterfall Analysis'!$A$4:$A$6</f>
            </numRef>
          </cat>
          <val>
            <numRef>
              <f>'Waterfall Analysis'!$H$4:$H$6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Proceeds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Comparación de Métodos de Valuación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'Valuation Multiples'!D3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'Valuation Multiples'!$A$4:$A$6</f>
            </numRef>
          </cat>
          <val>
            <numRef>
              <f>'Valuation Multiples'!$D$4:$D$6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Valuación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 ARR - Escenarios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'Proyecciones Financieras'!B15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Financieras'!$B$15:$F$15</f>
            </numRef>
          </cat>
          <val>
            <numRef>
              <f>'Proyecciones Financieras'!$B$16:$B$18</f>
            </numRef>
          </val>
        </ser>
        <ser>
          <idx val="1"/>
          <order val="1"/>
          <tx>
            <strRef>
              <f>'Proyecciones Financieras'!C15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Financieras'!$B$15:$F$15</f>
            </numRef>
          </cat>
          <val>
            <numRef>
              <f>'Proyecciones Financieras'!$C$16:$C$18</f>
            </numRef>
          </val>
        </ser>
        <ser>
          <idx val="2"/>
          <order val="2"/>
          <tx>
            <strRef>
              <f>'Proyecciones Financieras'!D15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Financieras'!$B$15:$F$15</f>
            </numRef>
          </cat>
          <val>
            <numRef>
              <f>'Proyecciones Financieras'!$D$16:$D$18</f>
            </numRef>
          </val>
        </ser>
        <ser>
          <idx val="3"/>
          <order val="3"/>
          <tx>
            <strRef>
              <f>'Proyecciones Financieras'!E15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Financieras'!$B$15:$F$15</f>
            </numRef>
          </cat>
          <val>
            <numRef>
              <f>'Proyecciones Financieras'!$E$16:$E$18</f>
            </numRef>
          </val>
        </ser>
        <ser>
          <idx val="4"/>
          <order val="4"/>
          <tx>
            <strRef>
              <f>'Proyecciones Financieras'!F15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'Proyecciones Financieras'!$B$15:$F$15</f>
            </numRef>
          </cat>
          <val>
            <numRef>
              <f>'Proyecciones Financieras'!$F$16:$F$18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ARR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Matriz de Riesgo - Probabilidad vs Impacto</a:t>
            </a:r>
          </a:p>
        </rich>
      </tx>
    </title>
    <plotArea>
      <scatterChart>
        <ser>
          <idx val="0"/>
          <order val="0"/>
          <tx>
            <strRef>
              <f>'Análisis de Riesgo'!B15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1"/>
          <order val="1"/>
          <tx>
            <strRef>
              <f>'Análisis de Riesgo'!C15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2"/>
          <order val="2"/>
          <tx>
            <strRef>
              <f>'Análisis de Riesgo'!D15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3"/>
          <order val="3"/>
          <tx>
            <strRef>
              <f>'Análisis de Riesgo'!E15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19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VENTURE CAPITAL - DASHBOARD EJECUTIVO</t>
        </is>
      </c>
    </row>
    <row r="2" ht="25" customHeight="1">
      <c r="A2" s="2" t="inlineStr">
        <is>
          <t>Análisis Profesional de Inversión - 23/11/2025 15:49</t>
        </is>
      </c>
    </row>
    <row r="4" ht="25" customHeight="1">
      <c r="A4" s="3" t="inlineStr">
        <is>
          <t>KPIs PRINCIPALES</t>
        </is>
      </c>
    </row>
    <row r="5">
      <c r="A5" s="4" t="inlineStr">
        <is>
          <t>TAM</t>
        </is>
      </c>
      <c r="C5" s="4" t="inlineStr">
        <is>
          <t>SAM</t>
        </is>
      </c>
      <c r="E5" s="4" t="inlineStr">
        <is>
          <t>SOM</t>
        </is>
      </c>
      <c r="G5" s="4" t="inlineStr">
        <is>
          <t>CAGR</t>
        </is>
      </c>
    </row>
    <row r="6">
      <c r="A6" s="5" t="inlineStr">
        <is>
          <t>$13.1B</t>
        </is>
      </c>
      <c r="C6" s="5" t="inlineStr">
        <is>
          <t>$2.52B</t>
        </is>
      </c>
      <c r="E6" s="5" t="inlineStr">
        <is>
          <t>$126M</t>
        </is>
      </c>
      <c r="G6" s="5" t="inlineStr">
        <is>
          <t>25.1%</t>
        </is>
      </c>
    </row>
    <row r="7">
      <c r="A7" s="6" t="inlineStr">
        <is>
          <t>Mercado Total</t>
        </is>
      </c>
      <c r="C7" s="6" t="inlineStr">
        <is>
          <t>Mercado Servible</t>
        </is>
      </c>
      <c r="E7" s="6" t="inlineStr">
        <is>
          <t>Mercado Obtenible</t>
        </is>
      </c>
      <c r="G7" s="6" t="inlineStr">
        <is>
          <t>Crecimiento Anual</t>
        </is>
      </c>
    </row>
    <row r="8">
      <c r="A8" s="4" t="inlineStr">
        <is>
          <t>Valuación</t>
        </is>
      </c>
      <c r="C8" s="4" t="inlineStr">
        <is>
          <t>ARR</t>
        </is>
      </c>
      <c r="E8" s="4" t="inlineStr">
        <is>
          <t>LTV/CAC</t>
        </is>
      </c>
      <c r="G8" s="4" t="inlineStr">
        <is>
          <t>Gross Margin</t>
        </is>
      </c>
    </row>
    <row r="9">
      <c r="A9" s="5" t="inlineStr">
        <is>
          <t>$50M</t>
        </is>
      </c>
      <c r="C9" s="5" t="inlineStr">
        <is>
          <t>$3.36M</t>
        </is>
      </c>
      <c r="E9" s="5" t="inlineStr">
        <is>
          <t>271:1</t>
        </is>
      </c>
      <c r="G9" s="5" t="inlineStr">
        <is>
          <t>80%</t>
        </is>
      </c>
    </row>
    <row r="10">
      <c r="A10" s="6" t="inlineStr">
        <is>
          <t>Pre-Series B</t>
        </is>
      </c>
      <c r="C10" s="6" t="inlineStr">
        <is>
          <t>Ingresos Recurrentes</t>
        </is>
      </c>
      <c r="E10" s="6" t="inlineStr">
        <is>
          <t>Unit Economics</t>
        </is>
      </c>
      <c r="G10" s="6" t="inlineStr">
        <is>
          <t>Margen Bruto</t>
        </is>
      </c>
    </row>
  </sheetData>
  <mergeCells count="2">
    <mergeCell ref="A1:J1"/>
    <mergeCell ref="A2:J2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7" t="inlineStr">
        <is>
          <t>TABLA DE CAPITALIZACIÓN (CAP TABLE) - EVOLUCIÓN POR RONDA</t>
        </is>
      </c>
    </row>
    <row r="3">
      <c r="A3" s="8" t="inlineStr">
        <is>
          <t>Accionista</t>
        </is>
      </c>
      <c r="B3" s="8" t="inlineStr">
        <is>
          <t>Pre-Seed</t>
        </is>
      </c>
      <c r="C3" s="8" t="inlineStr">
        <is>
          <t>Seed</t>
        </is>
      </c>
      <c r="D3" s="8" t="inlineStr">
        <is>
          <t>Series A</t>
        </is>
      </c>
      <c r="E3" s="8" t="inlineStr">
        <is>
          <t>Series B</t>
        </is>
      </c>
      <c r="F3" s="8" t="inlineStr">
        <is>
          <t>Series C</t>
        </is>
      </c>
      <c r="G3" s="8" t="inlineStr">
        <is>
          <t>IPO</t>
        </is>
      </c>
      <c r="H3" s="8" t="inlineStr">
        <is>
          <t>Acciones</t>
        </is>
      </c>
      <c r="I3" s="8" t="inlineStr">
        <is>
          <t>% Final</t>
        </is>
      </c>
      <c r="J3" s="8" t="inlineStr">
        <is>
          <t>Valor ($M)</t>
        </is>
      </c>
      <c r="K3" s="8" t="inlineStr">
        <is>
          <t>Tipo</t>
        </is>
      </c>
    </row>
    <row r="4">
      <c r="A4" s="9" t="inlineStr">
        <is>
          <t>Fundadores</t>
        </is>
      </c>
      <c r="B4" s="10" t="inlineStr">
        <is>
          <t>100%</t>
        </is>
      </c>
      <c r="C4" s="10" t="inlineStr">
        <is>
          <t>80%</t>
        </is>
      </c>
      <c r="D4" s="10" t="inlineStr">
        <is>
          <t>60%</t>
        </is>
      </c>
      <c r="E4" s="10" t="inlineStr">
        <is>
          <t>45%</t>
        </is>
      </c>
      <c r="F4" s="10" t="inlineStr">
        <is>
          <t>35%</t>
        </is>
      </c>
      <c r="G4" s="10" t="inlineStr">
        <is>
          <t>30%</t>
        </is>
      </c>
      <c r="H4" s="10" t="inlineStr">
        <is>
          <t>3000000</t>
        </is>
      </c>
      <c r="I4" s="10" t="inlineStr">
        <is>
          <t>30%</t>
        </is>
      </c>
      <c r="J4" s="11">
        <f>I4*50/1000000</f>
        <v/>
      </c>
      <c r="K4" s="10" t="inlineStr">
        <is>
          <t>Common</t>
        </is>
      </c>
    </row>
    <row r="5">
      <c r="A5" s="12" t="inlineStr">
        <is>
          <t>Empleados (ESOP)</t>
        </is>
      </c>
      <c r="B5" s="13" t="inlineStr">
        <is>
          <t>0%</t>
        </is>
      </c>
      <c r="C5" s="13" t="inlineStr">
        <is>
          <t>10%</t>
        </is>
      </c>
      <c r="D5" s="13" t="inlineStr">
        <is>
          <t>15%</t>
        </is>
      </c>
      <c r="E5" s="13" t="inlineStr">
        <is>
          <t>18%</t>
        </is>
      </c>
      <c r="F5" s="13" t="inlineStr">
        <is>
          <t>20%</t>
        </is>
      </c>
      <c r="G5" s="13" t="inlineStr">
        <is>
          <t>22%</t>
        </is>
      </c>
      <c r="H5" s="13" t="inlineStr">
        <is>
          <t>2200000</t>
        </is>
      </c>
      <c r="I5" s="13" t="inlineStr">
        <is>
          <t>22%</t>
        </is>
      </c>
      <c r="J5" s="14">
        <f>I5*50/1000000</f>
        <v/>
      </c>
      <c r="K5" s="13" t="inlineStr">
        <is>
          <t>Options</t>
        </is>
      </c>
    </row>
    <row r="6">
      <c r="A6" s="9" t="inlineStr">
        <is>
          <t>Pre-Seed Investors</t>
        </is>
      </c>
      <c r="B6" s="10" t="inlineStr">
        <is>
          <t>0%</t>
        </is>
      </c>
      <c r="C6" s="10" t="inlineStr">
        <is>
          <t>10%</t>
        </is>
      </c>
      <c r="D6" s="10" t="inlineStr">
        <is>
          <t>8%</t>
        </is>
      </c>
      <c r="E6" s="10" t="inlineStr">
        <is>
          <t>6%</t>
        </is>
      </c>
      <c r="F6" s="10" t="inlineStr">
        <is>
          <t>5%</t>
        </is>
      </c>
      <c r="G6" s="10" t="inlineStr">
        <is>
          <t>4%</t>
        </is>
      </c>
      <c r="H6" s="10" t="inlineStr">
        <is>
          <t>400000</t>
        </is>
      </c>
      <c r="I6" s="10" t="inlineStr">
        <is>
          <t>4%</t>
        </is>
      </c>
      <c r="J6" s="11">
        <f>I6*50/1000000</f>
        <v/>
      </c>
      <c r="K6" s="10" t="inlineStr">
        <is>
          <t>Preferred</t>
        </is>
      </c>
    </row>
    <row r="7">
      <c r="A7" s="12" t="inlineStr">
        <is>
          <t>Seed Investors</t>
        </is>
      </c>
      <c r="B7" s="13" t="inlineStr">
        <is>
          <t>0%</t>
        </is>
      </c>
      <c r="C7" s="13" t="inlineStr">
        <is>
          <t>0%</t>
        </is>
      </c>
      <c r="D7" s="13" t="inlineStr">
        <is>
          <t>12%</t>
        </is>
      </c>
      <c r="E7" s="13" t="inlineStr">
        <is>
          <t>9%</t>
        </is>
      </c>
      <c r="F7" s="13" t="inlineStr">
        <is>
          <t>7%</t>
        </is>
      </c>
      <c r="G7" s="13" t="inlineStr">
        <is>
          <t>6%</t>
        </is>
      </c>
      <c r="H7" s="13" t="inlineStr">
        <is>
          <t>600000</t>
        </is>
      </c>
      <c r="I7" s="13" t="inlineStr">
        <is>
          <t>6%</t>
        </is>
      </c>
      <c r="J7" s="14">
        <f>I7*50/1000000</f>
        <v/>
      </c>
      <c r="K7" s="13" t="inlineStr">
        <is>
          <t>Preferred</t>
        </is>
      </c>
    </row>
    <row r="8">
      <c r="A8" s="9" t="inlineStr">
        <is>
          <t>Series A Investors</t>
        </is>
      </c>
      <c r="B8" s="10" t="inlineStr">
        <is>
          <t>0%</t>
        </is>
      </c>
      <c r="C8" s="10" t="inlineStr">
        <is>
          <t>0%</t>
        </is>
      </c>
      <c r="D8" s="10" t="inlineStr">
        <is>
          <t>0%</t>
        </is>
      </c>
      <c r="E8" s="10" t="inlineStr">
        <is>
          <t>15%</t>
        </is>
      </c>
      <c r="F8" s="10" t="inlineStr">
        <is>
          <t>12%</t>
        </is>
      </c>
      <c r="G8" s="10" t="inlineStr">
        <is>
          <t>10%</t>
        </is>
      </c>
      <c r="H8" s="10" t="inlineStr">
        <is>
          <t>1000000</t>
        </is>
      </c>
      <c r="I8" s="10" t="inlineStr">
        <is>
          <t>10%</t>
        </is>
      </c>
      <c r="J8" s="11">
        <f>I8*50/1000000</f>
        <v/>
      </c>
      <c r="K8" s="10" t="inlineStr">
        <is>
          <t>Preferred</t>
        </is>
      </c>
    </row>
    <row r="9">
      <c r="A9" s="12" t="inlineStr">
        <is>
          <t>Series B Investors</t>
        </is>
      </c>
      <c r="B9" s="13" t="inlineStr">
        <is>
          <t>0%</t>
        </is>
      </c>
      <c r="C9" s="13" t="inlineStr">
        <is>
          <t>0%</t>
        </is>
      </c>
      <c r="D9" s="13" t="inlineStr">
        <is>
          <t>0%</t>
        </is>
      </c>
      <c r="E9" s="13" t="inlineStr">
        <is>
          <t>0%</t>
        </is>
      </c>
      <c r="F9" s="13" t="inlineStr">
        <is>
          <t>15%</t>
        </is>
      </c>
      <c r="G9" s="13" t="inlineStr">
        <is>
          <t>12%</t>
        </is>
      </c>
      <c r="H9" s="13" t="inlineStr">
        <is>
          <t>1200000</t>
        </is>
      </c>
      <c r="I9" s="13" t="inlineStr">
        <is>
          <t>12%</t>
        </is>
      </c>
      <c r="J9" s="14">
        <f>I9*50/1000000</f>
        <v/>
      </c>
      <c r="K9" s="13" t="inlineStr">
        <is>
          <t>Preferred</t>
        </is>
      </c>
    </row>
    <row r="10">
      <c r="A10" s="9" t="inlineStr">
        <is>
          <t>Series C Investors</t>
        </is>
      </c>
      <c r="B10" s="10" t="inlineStr">
        <is>
          <t>0%</t>
        </is>
      </c>
      <c r="C10" s="10" t="inlineStr">
        <is>
          <t>0%</t>
        </is>
      </c>
      <c r="D10" s="10" t="inlineStr">
        <is>
          <t>0%</t>
        </is>
      </c>
      <c r="E10" s="10" t="inlineStr">
        <is>
          <t>0%</t>
        </is>
      </c>
      <c r="F10" s="10" t="inlineStr">
        <is>
          <t>0%</t>
        </is>
      </c>
      <c r="G10" s="10" t="inlineStr">
        <is>
          <t>10%</t>
        </is>
      </c>
      <c r="H10" s="10" t="inlineStr">
        <is>
          <t>1000000</t>
        </is>
      </c>
      <c r="I10" s="10" t="inlineStr">
        <is>
          <t>10%</t>
        </is>
      </c>
      <c r="J10" s="11">
        <f>I10*50/1000000</f>
        <v/>
      </c>
      <c r="K10" s="10" t="inlineStr">
        <is>
          <t>Preferred</t>
        </is>
      </c>
    </row>
    <row r="11">
      <c r="A11" s="12" t="inlineStr">
        <is>
          <t>Reserva Futura</t>
        </is>
      </c>
      <c r="B11" s="13" t="inlineStr">
        <is>
          <t>0%</t>
        </is>
      </c>
      <c r="C11" s="13" t="inlineStr">
        <is>
          <t>0%</t>
        </is>
      </c>
      <c r="D11" s="13" t="inlineStr">
        <is>
          <t>5%</t>
        </is>
      </c>
      <c r="E11" s="13" t="inlineStr">
        <is>
          <t>7%</t>
        </is>
      </c>
      <c r="F11" s="13" t="inlineStr">
        <is>
          <t>6%</t>
        </is>
      </c>
      <c r="G11" s="13" t="inlineStr">
        <is>
          <t>6%</t>
        </is>
      </c>
      <c r="H11" s="13" t="inlineStr">
        <is>
          <t>600000</t>
        </is>
      </c>
      <c r="I11" s="13" t="inlineStr">
        <is>
          <t>6%</t>
        </is>
      </c>
      <c r="J11" s="14">
        <f>I11*50/1000000</f>
        <v/>
      </c>
      <c r="K11" s="13" t="inlineStr">
        <is>
          <t>Pool</t>
        </is>
      </c>
    </row>
    <row r="12">
      <c r="A12" s="15" t="inlineStr">
        <is>
          <t>TOTAL</t>
        </is>
      </c>
      <c r="B12" s="15" t="n"/>
      <c r="C12" s="15" t="n"/>
      <c r="D12" s="15" t="n"/>
      <c r="E12" s="15" t="n"/>
      <c r="F12" s="15" t="n"/>
      <c r="G12" s="15" t="n"/>
      <c r="H12" s="15">
        <f>SUM(I4:I11)</f>
        <v/>
      </c>
      <c r="I12" s="15" t="inlineStr">
        <is>
          <t>100%</t>
        </is>
      </c>
      <c r="J12" s="15">
        <f>SUM(J4:J11)</f>
        <v/>
      </c>
      <c r="K12" s="15" t="n"/>
    </row>
    <row r="14">
      <c r="B14" t="inlineStr">
        <is>
          <t>Pre-Seed</t>
        </is>
      </c>
      <c r="C14" t="inlineStr">
        <is>
          <t>Seed</t>
        </is>
      </c>
      <c r="D14" t="inlineStr">
        <is>
          <t>Series A</t>
        </is>
      </c>
      <c r="E14" t="inlineStr">
        <is>
          <t>Series B</t>
        </is>
      </c>
      <c r="F14" t="inlineStr">
        <is>
          <t>Series C</t>
        </is>
      </c>
      <c r="G14" t="inlineStr">
        <is>
          <t>IPO</t>
        </is>
      </c>
    </row>
    <row r="15">
      <c r="A15" t="inlineStr">
        <is>
          <t>Fundadores</t>
        </is>
      </c>
      <c r="B15" t="n">
        <v>100</v>
      </c>
      <c r="C15" t="n">
        <v>80</v>
      </c>
      <c r="D15" t="n">
        <v>60</v>
      </c>
      <c r="E15" t="n">
        <v>45</v>
      </c>
      <c r="F15" t="n">
        <v>35</v>
      </c>
      <c r="G15" t="n">
        <v>30</v>
      </c>
    </row>
  </sheetData>
  <mergeCells count="1">
    <mergeCell ref="A1:K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7" t="inlineStr">
        <is>
          <t>ANÁLISIS WATERFALL - DISTRIBUCIÓN DE PROCEEDS EN EXIT</t>
        </is>
      </c>
    </row>
    <row r="3">
      <c r="A3" s="8" t="inlineStr">
        <is>
          <t>Escenario Exit</t>
        </is>
      </c>
      <c r="B3" s="8" t="inlineStr">
        <is>
          <t>Valor Exit ($M)</t>
        </is>
      </c>
      <c r="C3" s="8" t="inlineStr">
        <is>
          <t>Preferencia Series A</t>
        </is>
      </c>
      <c r="D3" s="8" t="inlineStr">
        <is>
          <t>Preferencia Series B</t>
        </is>
      </c>
      <c r="E3" s="8" t="inlineStr">
        <is>
          <t>Preferencia Series C</t>
        </is>
      </c>
      <c r="F3" s="8" t="inlineStr">
        <is>
          <t>Proceeds Restantes</t>
        </is>
      </c>
      <c r="G3" s="8" t="inlineStr">
        <is>
          <t>Distribución Pro-Rata</t>
        </is>
      </c>
      <c r="H3" s="8" t="inlineStr">
        <is>
          <t>Total por Accionista</t>
        </is>
      </c>
    </row>
    <row r="4">
      <c r="A4" s="16" t="inlineStr">
        <is>
          <t>Conservador</t>
        </is>
      </c>
      <c r="B4" s="17" t="n">
        <v>100</v>
      </c>
      <c r="C4" s="17" t="n">
        <v>10</v>
      </c>
      <c r="D4" s="17" t="n">
        <v>12</v>
      </c>
      <c r="E4" s="17" t="n">
        <v>10</v>
      </c>
      <c r="F4" s="17">
        <f>B4-SUM(C4:E4)</f>
        <v/>
      </c>
      <c r="G4" s="17">
        <f>F4*0.3</f>
        <v/>
      </c>
      <c r="H4" s="17">
        <f>C4+D4+E4+G4</f>
        <v/>
      </c>
    </row>
    <row r="5">
      <c r="A5" s="18" t="inlineStr">
        <is>
          <t>Caso Base</t>
        </is>
      </c>
      <c r="B5" s="19" t="n">
        <v>200</v>
      </c>
      <c r="C5" s="19" t="n">
        <v>10</v>
      </c>
      <c r="D5" s="19" t="n">
        <v>12</v>
      </c>
      <c r="E5" s="19" t="n">
        <v>10</v>
      </c>
      <c r="F5" s="19">
        <f>B5-SUM(C5:E5)</f>
        <v/>
      </c>
      <c r="G5" s="19">
        <f>F5*0.3</f>
        <v/>
      </c>
      <c r="H5" s="19">
        <f>C5+D5+E5+G5</f>
        <v/>
      </c>
    </row>
    <row r="6">
      <c r="A6" s="16" t="inlineStr">
        <is>
          <t>Optimista</t>
        </is>
      </c>
      <c r="B6" s="17" t="n">
        <v>500</v>
      </c>
      <c r="C6" s="17" t="n">
        <v>10</v>
      </c>
      <c r="D6" s="17" t="n">
        <v>12</v>
      </c>
      <c r="E6" s="17" t="n">
        <v>10</v>
      </c>
      <c r="F6" s="17">
        <f>B6-SUM(C6:E6)</f>
        <v/>
      </c>
      <c r="G6" s="17">
        <f>F6*0.3</f>
        <v/>
      </c>
      <c r="H6" s="17">
        <f>C6+D6+E6+G6</f>
        <v/>
      </c>
    </row>
  </sheetData>
  <mergeCells count="1">
    <mergeCell ref="A1:H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7" t="inlineStr">
        <is>
          <t>ANÁLISIS DE TERM SHEET - COMPARACIÓN DE TÉRMINOS</t>
        </is>
      </c>
    </row>
    <row r="3">
      <c r="A3" s="8" t="inlineStr">
        <is>
          <t>Término</t>
        </is>
      </c>
      <c r="B3" s="8" t="inlineStr">
        <is>
          <t>Estándar</t>
        </is>
      </c>
      <c r="C3" s="8" t="inlineStr">
        <is>
          <t>Founder-Friendly</t>
        </is>
      </c>
      <c r="D3" s="8" t="inlineStr">
        <is>
          <t>Investor-Friendly</t>
        </is>
      </c>
      <c r="E3" s="8" t="inlineStr">
        <is>
          <t>Recomendado</t>
        </is>
      </c>
      <c r="F3" s="8" t="inlineStr">
        <is>
          <t>Impacto</t>
        </is>
      </c>
    </row>
    <row r="4">
      <c r="A4" s="9" t="inlineStr">
        <is>
          <t>Liquidation Preference</t>
        </is>
      </c>
      <c r="B4" s="10" t="inlineStr">
        <is>
          <t>1x non-participating</t>
        </is>
      </c>
      <c r="C4" s="10" t="inlineStr">
        <is>
          <t>1x non-participating</t>
        </is>
      </c>
      <c r="D4" s="10" t="inlineStr">
        <is>
          <t>2x participating</t>
        </is>
      </c>
      <c r="E4" s="20" t="inlineStr">
        <is>
          <t>1x non-participating</t>
        </is>
      </c>
      <c r="F4" s="10" t="inlineStr">
        <is>
          <t>Alto</t>
        </is>
      </c>
    </row>
    <row r="5">
      <c r="A5" s="12" t="inlineStr">
        <is>
          <t>Anti-Dilution</t>
        </is>
      </c>
      <c r="B5" s="13" t="inlineStr">
        <is>
          <t>Weighted average</t>
        </is>
      </c>
      <c r="C5" s="13" t="inlineStr">
        <is>
          <t>Weighted average</t>
        </is>
      </c>
      <c r="D5" s="13" t="inlineStr">
        <is>
          <t>Full ratchet</t>
        </is>
      </c>
      <c r="E5" s="20" t="inlineStr">
        <is>
          <t>Weighted average</t>
        </is>
      </c>
      <c r="F5" s="13" t="inlineStr">
        <is>
          <t>Medio</t>
        </is>
      </c>
    </row>
    <row r="6">
      <c r="A6" s="9" t="inlineStr">
        <is>
          <t>Board Control</t>
        </is>
      </c>
      <c r="B6" s="10" t="inlineStr">
        <is>
          <t>Balanced (2-2-1)</t>
        </is>
      </c>
      <c r="C6" s="10" t="inlineStr">
        <is>
          <t>Founder control (3-2)</t>
        </is>
      </c>
      <c r="D6" s="10" t="inlineStr">
        <is>
          <t>Investor control (2-3)</t>
        </is>
      </c>
      <c r="E6" s="20" t="inlineStr">
        <is>
          <t>Balanced (2-2-1)</t>
        </is>
      </c>
      <c r="F6" s="10" t="inlineStr">
        <is>
          <t>Alto</t>
        </is>
      </c>
    </row>
    <row r="7">
      <c r="A7" s="12" t="inlineStr">
        <is>
          <t>Protective Provisions</t>
        </is>
      </c>
      <c r="B7" s="13" t="inlineStr">
        <is>
          <t>Standard</t>
        </is>
      </c>
      <c r="C7" s="13" t="inlineStr">
        <is>
          <t>Minimal</t>
        </is>
      </c>
      <c r="D7" s="13" t="inlineStr">
        <is>
          <t>Comprehensive</t>
        </is>
      </c>
      <c r="E7" s="20" t="inlineStr">
        <is>
          <t>Standard</t>
        </is>
      </c>
      <c r="F7" s="13" t="inlineStr">
        <is>
          <t>Medio</t>
        </is>
      </c>
    </row>
    <row r="8">
      <c r="A8" s="9" t="inlineStr">
        <is>
          <t>Information Rights</t>
        </is>
      </c>
      <c r="B8" s="10" t="inlineStr">
        <is>
          <t>Standard</t>
        </is>
      </c>
      <c r="C8" s="10" t="inlineStr">
        <is>
          <t>Basic</t>
        </is>
      </c>
      <c r="D8" s="10" t="inlineStr">
        <is>
          <t>Extensive</t>
        </is>
      </c>
      <c r="E8" s="20" t="inlineStr">
        <is>
          <t>Standard</t>
        </is>
      </c>
      <c r="F8" s="10" t="inlineStr">
        <is>
          <t>Bajo</t>
        </is>
      </c>
    </row>
    <row r="9">
      <c r="A9" s="12" t="inlineStr">
        <is>
          <t>Pro Rata Rights</t>
        </is>
      </c>
      <c r="B9" s="13" t="inlineStr">
        <is>
          <t>Yes</t>
        </is>
      </c>
      <c r="C9" s="13" t="inlineStr">
        <is>
          <t>Limited</t>
        </is>
      </c>
      <c r="D9" s="13" t="inlineStr">
        <is>
          <t>Full</t>
        </is>
      </c>
      <c r="E9" s="20" t="inlineStr">
        <is>
          <t>Yes</t>
        </is>
      </c>
      <c r="F9" s="13" t="inlineStr">
        <is>
          <t>Medio</t>
        </is>
      </c>
    </row>
    <row r="10">
      <c r="A10" s="9" t="inlineStr">
        <is>
          <t>Drag-Along Rights</t>
        </is>
      </c>
      <c r="B10" s="10" t="inlineStr">
        <is>
          <t>Yes</t>
        </is>
      </c>
      <c r="C10" s="10" t="inlineStr">
        <is>
          <t>Limited</t>
        </is>
      </c>
      <c r="D10" s="10" t="inlineStr">
        <is>
          <t>Full</t>
        </is>
      </c>
      <c r="E10" s="20" t="inlineStr">
        <is>
          <t>Yes</t>
        </is>
      </c>
      <c r="F10" s="10" t="inlineStr">
        <is>
          <t>Bajo</t>
        </is>
      </c>
    </row>
    <row r="11">
      <c r="A11" s="12" t="inlineStr">
        <is>
          <t>Redemption Rights</t>
        </is>
      </c>
      <c r="B11" s="13" t="inlineStr">
        <is>
          <t>No</t>
        </is>
      </c>
      <c r="C11" s="13" t="inlineStr">
        <is>
          <t>No</t>
        </is>
      </c>
      <c r="D11" s="13" t="inlineStr">
        <is>
          <t>Yes</t>
        </is>
      </c>
      <c r="E11" s="20" t="inlineStr">
        <is>
          <t>No</t>
        </is>
      </c>
      <c r="F11" s="13" t="inlineStr">
        <is>
          <t>Alto</t>
        </is>
      </c>
    </row>
  </sheetData>
  <mergeCells count="1">
    <mergeCell ref="A1:F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7" t="inlineStr">
        <is>
          <t>ANÁLISIS DE VALUACIÓN - MÚLTIPLES DE MERCADO</t>
        </is>
      </c>
    </row>
    <row r="3">
      <c r="A3" s="8" t="inlineStr">
        <is>
          <t>Método</t>
        </is>
      </c>
      <c r="B3" s="8" t="inlineStr">
        <is>
          <t>Múltiple</t>
        </is>
      </c>
      <c r="C3" s="8" t="inlineStr">
        <is>
          <t>Revenue (Año 3)</t>
        </is>
      </c>
      <c r="D3" s="8" t="inlineStr">
        <is>
          <t>Valuación ($M)</t>
        </is>
      </c>
      <c r="E3" s="8" t="inlineStr">
        <is>
          <t>Peso</t>
        </is>
      </c>
      <c r="F3" s="8" t="inlineStr">
        <is>
          <t>Valuación Ponderada</t>
        </is>
      </c>
      <c r="G3" s="8" t="inlineStr">
        <is>
          <t>Benchmark</t>
        </is>
      </c>
    </row>
    <row r="4">
      <c r="A4" s="18" t="inlineStr">
        <is>
          <t>SaaS Revenue Multiple</t>
        </is>
      </c>
      <c r="B4" s="21" t="n">
        <v>8</v>
      </c>
      <c r="C4" s="21" t="n">
        <v>14</v>
      </c>
      <c r="D4" s="19">
        <f>B4*C4</f>
        <v/>
      </c>
      <c r="E4" s="21" t="inlineStr">
        <is>
          <t>40%</t>
        </is>
      </c>
      <c r="F4" s="19">
        <f>D4*E4</f>
        <v/>
      </c>
      <c r="G4" s="21" t="inlineStr">
        <is>
          <t>8-12x</t>
        </is>
      </c>
    </row>
    <row r="5">
      <c r="A5" s="18" t="inlineStr">
        <is>
          <t>AI Startup Multiple</t>
        </is>
      </c>
      <c r="B5" s="21" t="n">
        <v>20</v>
      </c>
      <c r="C5" s="21" t="n">
        <v>14</v>
      </c>
      <c r="D5" s="19">
        <f>B5*C5</f>
        <v/>
      </c>
      <c r="E5" s="21" t="inlineStr">
        <is>
          <t>35%</t>
        </is>
      </c>
      <c r="F5" s="19">
        <f>D5*E5</f>
        <v/>
      </c>
      <c r="G5" s="21" t="inlineStr">
        <is>
          <t>15-25x</t>
        </is>
      </c>
    </row>
    <row r="6">
      <c r="A6" s="18" t="inlineStr">
        <is>
          <t>Education Tech Multiple</t>
        </is>
      </c>
      <c r="B6" s="21" t="n">
        <v>7</v>
      </c>
      <c r="C6" s="21" t="n">
        <v>14</v>
      </c>
      <c r="D6" s="19">
        <f>B6*C6</f>
        <v/>
      </c>
      <c r="E6" s="21" t="inlineStr">
        <is>
          <t>25%</t>
        </is>
      </c>
      <c r="F6" s="19">
        <f>D6*E6</f>
        <v/>
      </c>
      <c r="G6" s="21" t="inlineStr">
        <is>
          <t>6-10x</t>
        </is>
      </c>
    </row>
    <row r="7">
      <c r="A7" s="22" t="inlineStr">
        <is>
          <t>PROMEDIO PONDERADO</t>
        </is>
      </c>
      <c r="B7" s="23">
        <f>SUMPRODUCT(B4:B6,E4:E6)</f>
        <v/>
      </c>
      <c r="C7" s="23" t="n">
        <v>14</v>
      </c>
      <c r="D7" s="24">
        <f>SUM(F4:F6)</f>
        <v/>
      </c>
      <c r="E7" s="23" t="inlineStr">
        <is>
          <t>100%</t>
        </is>
      </c>
      <c r="F7" s="24">
        <f>SUM(F4:F6)</f>
        <v/>
      </c>
      <c r="G7" s="23" t="inlineStr">
        <is>
          <t>12x</t>
        </is>
      </c>
    </row>
  </sheetData>
  <mergeCells count="1">
    <mergeCell ref="A1:G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7" t="inlineStr">
        <is>
          <t>RONDAS DE FINANCIAMIENTO - ROADMAP COMPLETO</t>
        </is>
      </c>
    </row>
    <row r="3">
      <c r="A3" s="8" t="inlineStr">
        <is>
          <t>Ronda</t>
        </is>
      </c>
      <c r="B3" s="8" t="inlineStr">
        <is>
          <t>Monto</t>
        </is>
      </c>
      <c r="C3" s="8" t="inlineStr">
        <is>
          <t>Valuación Pre</t>
        </is>
      </c>
      <c r="D3" s="8" t="inlineStr">
        <is>
          <t>Valuación Post</t>
        </is>
      </c>
      <c r="E3" s="8" t="inlineStr">
        <is>
          <t>Dilución</t>
        </is>
      </c>
      <c r="F3" s="8" t="inlineStr">
        <is>
          <t>Timeline</t>
        </is>
      </c>
      <c r="G3" s="8" t="inlineStr">
        <is>
          <t>Uso de Fondos</t>
        </is>
      </c>
      <c r="H3" s="8" t="inlineStr">
        <is>
          <t>Hitos Clave</t>
        </is>
      </c>
      <c r="I3" s="8" t="inlineStr">
        <is>
          <t>IRR Proyectado</t>
        </is>
      </c>
      <c r="J3" s="8" t="inlineStr">
        <is>
          <t>Múltiple</t>
        </is>
      </c>
    </row>
    <row r="4">
      <c r="A4" s="9" t="inlineStr">
        <is>
          <t>Pre-Seed</t>
        </is>
      </c>
      <c r="B4" s="10" t="inlineStr">
        <is>
          <t>$200K-$500K</t>
        </is>
      </c>
      <c r="C4" s="10" t="inlineStr">
        <is>
          <t>$1M-$5M</t>
        </is>
      </c>
      <c r="D4" s="10">
        <f>C4+B4</f>
        <v/>
      </c>
      <c r="E4" s="10" t="inlineStr">
        <is>
          <t>10-20%</t>
        </is>
      </c>
      <c r="F4" s="10" t="inlineStr">
        <is>
          <t>Año 0-1</t>
        </is>
      </c>
      <c r="G4" s="10" t="inlineStr">
        <is>
          <t>60% Producto, 20% Equipo, 20% Ops</t>
        </is>
      </c>
      <c r="H4" s="10" t="inlineStr">
        <is>
          <t>MVP, Product-Market Fit</t>
        </is>
      </c>
      <c r="I4" s="10" t="inlineStr">
        <is>
          <t>N/A</t>
        </is>
      </c>
      <c r="J4" s="10" t="inlineStr">
        <is>
          <t>N/A</t>
        </is>
      </c>
    </row>
    <row r="5">
      <c r="A5" s="12" t="inlineStr">
        <is>
          <t>Seed</t>
        </is>
      </c>
      <c r="B5" s="13" t="inlineStr">
        <is>
          <t>$500K-$2M</t>
        </is>
      </c>
      <c r="C5" s="13" t="inlineStr">
        <is>
          <t>$5M-$15M</t>
        </is>
      </c>
      <c r="D5" s="13">
        <f>C5+B5</f>
        <v/>
      </c>
      <c r="E5" s="13" t="inlineStr">
        <is>
          <t>20-30%</t>
        </is>
      </c>
      <c r="F5" s="13" t="inlineStr">
        <is>
          <t>Año 1-2</t>
        </is>
      </c>
      <c r="G5" s="13" t="inlineStr">
        <is>
          <t>50% Producto, 30% Equipo, 20% Ops</t>
        </is>
      </c>
      <c r="H5" s="13" t="inlineStr">
        <is>
          <t>$1M ARR, Tracción temprana</t>
        </is>
      </c>
      <c r="I5" s="13" t="inlineStr">
        <is>
          <t>100%+</t>
        </is>
      </c>
      <c r="J5" s="13" t="inlineStr">
        <is>
          <t>5x</t>
        </is>
      </c>
    </row>
    <row r="6">
      <c r="A6" s="9" t="inlineStr">
        <is>
          <t>Series A</t>
        </is>
      </c>
      <c r="B6" s="10" t="inlineStr">
        <is>
          <t>$2M-$10M</t>
        </is>
      </c>
      <c r="C6" s="10" t="inlineStr">
        <is>
          <t>$15M-$50M</t>
        </is>
      </c>
      <c r="D6" s="10">
        <f>C6+B6</f>
        <v/>
      </c>
      <c r="E6" s="10" t="inlineStr">
        <is>
          <t>20-30%</t>
        </is>
      </c>
      <c r="F6" s="10" t="inlineStr">
        <is>
          <t>Año 2-3</t>
        </is>
      </c>
      <c r="G6" s="10" t="inlineStr">
        <is>
          <t>40% Growth, 40% Equipo, 20% Producto</t>
        </is>
      </c>
      <c r="H6" s="10" t="inlineStr">
        <is>
          <t>$5M ARR, Product-Market Fit</t>
        </is>
      </c>
      <c r="I6" s="10" t="inlineStr">
        <is>
          <t>50%+</t>
        </is>
      </c>
      <c r="J6" s="10" t="inlineStr">
        <is>
          <t>5x</t>
        </is>
      </c>
    </row>
    <row r="7">
      <c r="A7" s="12" t="inlineStr">
        <is>
          <t>Series B</t>
        </is>
      </c>
      <c r="B7" s="13" t="inlineStr">
        <is>
          <t>$10M-$30M</t>
        </is>
      </c>
      <c r="C7" s="13" t="inlineStr">
        <is>
          <t>$50M-$200M</t>
        </is>
      </c>
      <c r="D7" s="13">
        <f>C7+B7</f>
        <v/>
      </c>
      <c r="E7" s="13" t="inlineStr">
        <is>
          <t>15-25%</t>
        </is>
      </c>
      <c r="F7" s="13" t="inlineStr">
        <is>
          <t>Año 3-4</t>
        </is>
      </c>
      <c r="G7" s="13" t="inlineStr">
        <is>
          <t>50% Growth, 30% Equipo, 20% Ops</t>
        </is>
      </c>
      <c r="H7" s="13" t="inlineStr">
        <is>
          <t>$25M ARR, Expansión mercado</t>
        </is>
      </c>
      <c r="I7" s="13" t="inlineStr">
        <is>
          <t>30%+</t>
        </is>
      </c>
      <c r="J7" s="13" t="inlineStr">
        <is>
          <t>4x</t>
        </is>
      </c>
    </row>
    <row r="8">
      <c r="A8" s="9" t="inlineStr">
        <is>
          <t>Series C+</t>
        </is>
      </c>
      <c r="B8" s="10" t="inlineStr">
        <is>
          <t>$30M-$100M+</t>
        </is>
      </c>
      <c r="C8" s="10" t="inlineStr">
        <is>
          <t>$200M-$1B+</t>
        </is>
      </c>
      <c r="D8" s="10">
        <f>C8+B8</f>
        <v/>
      </c>
      <c r="E8" s="10" t="inlineStr">
        <is>
          <t>15-25%</t>
        </is>
      </c>
      <c r="F8" s="10" t="inlineStr">
        <is>
          <t>Año 4-5</t>
        </is>
      </c>
      <c r="G8" s="10" t="inlineStr">
        <is>
          <t>60% Growth, 30% Equipo, 10% Ops</t>
        </is>
      </c>
      <c r="H8" s="10" t="inlineStr">
        <is>
          <t>$100M ARR, Dominio mercado</t>
        </is>
      </c>
      <c r="I8" s="10" t="inlineStr">
        <is>
          <t>25%+</t>
        </is>
      </c>
      <c r="J8" s="10" t="inlineStr">
        <is>
          <t>3x</t>
        </is>
      </c>
    </row>
    <row r="9">
      <c r="A9" s="12" t="inlineStr">
        <is>
          <t>IPO/Exit</t>
        </is>
      </c>
      <c r="B9" s="13" t="inlineStr">
        <is>
          <t>$100M-$500M+</t>
        </is>
      </c>
      <c r="C9" s="13" t="inlineStr">
        <is>
          <t>$1B-$10B+</t>
        </is>
      </c>
      <c r="D9" s="13">
        <f>C9+B9</f>
        <v/>
      </c>
      <c r="E9" s="13" t="inlineStr">
        <is>
          <t>N/A</t>
        </is>
      </c>
      <c r="F9" s="13" t="inlineStr">
        <is>
          <t>Año 5-7</t>
        </is>
      </c>
      <c r="G9" s="13" t="inlineStr">
        <is>
          <t>Expansión global, Adquisiciones</t>
        </is>
      </c>
      <c r="H9" s="13" t="inlineStr">
        <is>
          <t>$200M+ ARR, Unicornio</t>
        </is>
      </c>
      <c r="I9" s="13" t="inlineStr">
        <is>
          <t>20%+</t>
        </is>
      </c>
      <c r="J9" s="13" t="inlineStr">
        <is>
          <t>10-50x</t>
        </is>
      </c>
    </row>
  </sheetData>
  <mergeCells count="1">
    <mergeCell ref="A1:J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7" t="inlineStr">
        <is>
          <t>PROYECCIONES FINANCIERAS - 5 AÑOS CON SENSITIVIDAD</t>
        </is>
      </c>
    </row>
    <row r="3">
      <c r="A3" s="8" t="inlineStr">
        <is>
          <t>Métrica</t>
        </is>
      </c>
      <c r="B3" s="8" t="inlineStr">
        <is>
          <t>Año 1</t>
        </is>
      </c>
      <c r="C3" s="8" t="inlineStr">
        <is>
          <t>Año 2</t>
        </is>
      </c>
      <c r="D3" s="8" t="inlineStr">
        <is>
          <t>Año 3</t>
        </is>
      </c>
      <c r="E3" s="8" t="inlineStr">
        <is>
          <t>Año 4</t>
        </is>
      </c>
      <c r="F3" s="8" t="inlineStr">
        <is>
          <t>Año 5</t>
        </is>
      </c>
      <c r="G3" s="8" t="inlineStr">
        <is>
          <t>CAGR</t>
        </is>
      </c>
      <c r="H3" s="8" t="inlineStr">
        <is>
          <t>Conservador</t>
        </is>
      </c>
      <c r="I3" s="8" t="inlineStr">
        <is>
          <t>Optimista</t>
        </is>
      </c>
      <c r="J3" s="8" t="inlineStr">
        <is>
          <t>Benchmark</t>
        </is>
      </c>
      <c r="K3" s="8" t="inlineStr">
        <is>
          <t>Estado</t>
        </is>
      </c>
    </row>
    <row r="4">
      <c r="A4" s="16" t="inlineStr">
        <is>
          <t>ARR ($M)</t>
        </is>
      </c>
      <c r="B4" s="25" t="n">
        <v>3.36</v>
      </c>
      <c r="C4" s="25" t="n">
        <v>6</v>
      </c>
      <c r="D4" s="25" t="n">
        <v>12</v>
      </c>
      <c r="E4" s="25" t="n">
        <v>24</v>
      </c>
      <c r="F4" s="25" t="n">
        <v>60</v>
      </c>
      <c r="G4" s="26">
        <f>POWER(F4/B4,1/4)-1</f>
        <v/>
      </c>
      <c r="H4" s="25">
        <f>B4*0.8</f>
        <v/>
      </c>
      <c r="I4" s="25">
        <f>F4*1.2</f>
        <v/>
      </c>
      <c r="J4" s="27" t="inlineStr">
        <is>
          <t>$50M+</t>
        </is>
      </c>
      <c r="K4" s="27">
        <f>IF(F4&gt;=50,"✓","⚠")</f>
        <v/>
      </c>
    </row>
    <row r="5">
      <c r="A5" s="18" t="inlineStr">
        <is>
          <t>Ingresos Totales ($M)</t>
        </is>
      </c>
      <c r="B5" s="28" t="n">
        <v>4.2</v>
      </c>
      <c r="C5" s="28" t="n">
        <v>7.5</v>
      </c>
      <c r="D5" s="28" t="n">
        <v>15</v>
      </c>
      <c r="E5" s="28" t="n">
        <v>30</v>
      </c>
      <c r="F5" s="28" t="n">
        <v>75</v>
      </c>
      <c r="G5" s="29">
        <f>POWER(F5/B5,1/4)-1</f>
        <v/>
      </c>
      <c r="H5" s="28">
        <f>B5*0.8</f>
        <v/>
      </c>
      <c r="I5" s="28">
        <f>F5*1.2</f>
        <v/>
      </c>
      <c r="J5" s="21" t="inlineStr">
        <is>
          <t>$75M+</t>
        </is>
      </c>
      <c r="K5" s="21">
        <f>IF(F5&gt;=75,"✓","⚠")</f>
        <v/>
      </c>
    </row>
    <row r="6">
      <c r="A6" s="16" t="inlineStr">
        <is>
          <t>Clientes Totales</t>
        </is>
      </c>
      <c r="B6" s="25" t="n">
        <v>203</v>
      </c>
      <c r="C6" s="25" t="n">
        <v>400</v>
      </c>
      <c r="D6" s="25" t="n">
        <v>1200</v>
      </c>
      <c r="E6" s="25" t="n">
        <v>3000</v>
      </c>
      <c r="F6" s="25" t="n">
        <v>7500</v>
      </c>
      <c r="G6" s="26">
        <f>POWER(F6/B6,1/4)-1</f>
        <v/>
      </c>
      <c r="H6" s="25">
        <f>B6*0.8</f>
        <v/>
      </c>
      <c r="I6" s="25">
        <f>F6*1.2</f>
        <v/>
      </c>
      <c r="J6" s="27" t="inlineStr">
        <is>
          <t>5,000+</t>
        </is>
      </c>
      <c r="K6" s="27">
        <f>IF(F6&gt;=5000,"✓","⚠")</f>
        <v/>
      </c>
    </row>
    <row r="7">
      <c r="A7" s="18" t="inlineStr">
        <is>
          <t>CAC ($)</t>
        </is>
      </c>
      <c r="B7" s="28" t="n">
        <v>50</v>
      </c>
      <c r="C7" s="28" t="n">
        <v>45</v>
      </c>
      <c r="D7" s="28" t="n">
        <v>40</v>
      </c>
      <c r="E7" s="28" t="n">
        <v>35</v>
      </c>
      <c r="F7" s="28" t="n">
        <v>30</v>
      </c>
      <c r="G7" s="29">
        <f>POWER(F7/B7,1/4)-1</f>
        <v/>
      </c>
      <c r="H7" s="28">
        <f>B7*1.2</f>
        <v/>
      </c>
      <c r="I7" s="28">
        <f>F7*0.8</f>
        <v/>
      </c>
      <c r="J7" s="21" t="inlineStr">
        <is>
          <t>&lt;$50</t>
        </is>
      </c>
      <c r="K7" s="21">
        <f>IF(F7&lt;=50,"✓","⚠")</f>
        <v/>
      </c>
    </row>
    <row r="8">
      <c r="A8" s="16" t="inlineStr">
        <is>
          <t>LTV ($K)</t>
        </is>
      </c>
      <c r="B8" s="25" t="n">
        <v>135.5</v>
      </c>
      <c r="C8" s="25" t="n">
        <v>150</v>
      </c>
      <c r="D8" s="25" t="n">
        <v>175</v>
      </c>
      <c r="E8" s="25" t="n">
        <v>200</v>
      </c>
      <c r="F8" s="25" t="n">
        <v>250</v>
      </c>
      <c r="G8" s="26">
        <f>POWER(F8/B8,1/4)-1</f>
        <v/>
      </c>
      <c r="H8" s="25">
        <f>B8*0.9</f>
        <v/>
      </c>
      <c r="I8" s="25">
        <f>F8*1.1</f>
        <v/>
      </c>
      <c r="J8" s="27" t="inlineStr">
        <is>
          <t>$200K+</t>
        </is>
      </c>
      <c r="K8" s="27">
        <f>IF(F8&gt;=200,"✓","⚠")</f>
        <v/>
      </c>
    </row>
    <row r="9">
      <c r="A9" s="18" t="inlineStr">
        <is>
          <t>LTV/CAC Ratio</t>
        </is>
      </c>
      <c r="B9" s="28" t="n">
        <v>2710</v>
      </c>
      <c r="C9" s="28" t="n">
        <v>3333</v>
      </c>
      <c r="D9" s="28" t="n">
        <v>4375</v>
      </c>
      <c r="E9" s="28" t="n">
        <v>5714</v>
      </c>
      <c r="F9" s="28" t="n">
        <v>8333</v>
      </c>
      <c r="G9" s="29">
        <f>POWER(F9/B9,1/4)-1</f>
        <v/>
      </c>
      <c r="H9" s="28">
        <f>B9*0.9</f>
        <v/>
      </c>
      <c r="I9" s="28">
        <f>F9*1.1</f>
        <v/>
      </c>
      <c r="J9" s="21" t="inlineStr">
        <is>
          <t>200:1+</t>
        </is>
      </c>
      <c r="K9" s="21">
        <f>IF(F9&gt;=20000,"✓","⚠")</f>
        <v/>
      </c>
    </row>
    <row r="10">
      <c r="A10" s="16" t="inlineStr">
        <is>
          <t>Gross Margin %</t>
        </is>
      </c>
      <c r="B10" s="30" t="n">
        <v>80</v>
      </c>
      <c r="C10" s="30" t="n">
        <v>82</v>
      </c>
      <c r="D10" s="30" t="n">
        <v>85</v>
      </c>
      <c r="E10" s="30" t="n">
        <v>87</v>
      </c>
      <c r="F10" s="30" t="n">
        <v>88</v>
      </c>
      <c r="G10" s="26">
        <f>POWER(F10/B10,1/4)-1</f>
        <v/>
      </c>
      <c r="H10" s="30">
        <f>B10*0.95</f>
        <v/>
      </c>
      <c r="I10" s="30">
        <f>F10*1.05</f>
        <v/>
      </c>
      <c r="J10" s="27" t="inlineStr">
        <is>
          <t>80%+</t>
        </is>
      </c>
      <c r="K10" s="27">
        <f>IF(F10&gt;=80,"✓","⚠")</f>
        <v/>
      </c>
    </row>
    <row r="11">
      <c r="A11" s="18" t="inlineStr">
        <is>
          <t>Burn Multiple</t>
        </is>
      </c>
      <c r="B11" s="28" t="n">
        <v>3.26</v>
      </c>
      <c r="C11" s="28" t="n">
        <v>2.5</v>
      </c>
      <c r="D11" s="28" t="n">
        <v>2</v>
      </c>
      <c r="E11" s="28" t="n">
        <v>1.5</v>
      </c>
      <c r="F11" s="28" t="n">
        <v>1</v>
      </c>
      <c r="G11" s="29">
        <f>POWER(F11/B11,1/4)-1</f>
        <v/>
      </c>
      <c r="H11" s="28">
        <f>B11*1.2</f>
        <v/>
      </c>
      <c r="I11" s="28">
        <f>F11*0.8</f>
        <v/>
      </c>
      <c r="J11" s="21" t="inlineStr">
        <is>
          <t>&lt;2.0</t>
        </is>
      </c>
      <c r="K11" s="21">
        <f>IF(F11&lt;=2,"✓","⚠")</f>
        <v/>
      </c>
    </row>
    <row r="12">
      <c r="A12" s="16" t="inlineStr">
        <is>
          <t>Rule of 40</t>
        </is>
      </c>
      <c r="B12" s="30" t="n">
        <v>135</v>
      </c>
      <c r="C12" s="30" t="n">
        <v>120</v>
      </c>
      <c r="D12" s="30" t="n">
        <v>110</v>
      </c>
      <c r="E12" s="30" t="n">
        <v>100</v>
      </c>
      <c r="F12" s="30" t="n">
        <v>95</v>
      </c>
      <c r="G12" s="26">
        <f>POWER(F12/B12,1/4)-1</f>
        <v/>
      </c>
      <c r="H12" s="30">
        <f>B12*0.9</f>
        <v/>
      </c>
      <c r="I12" s="30">
        <f>F12*1.1</f>
        <v/>
      </c>
      <c r="J12" s="27" t="inlineStr">
        <is>
          <t>40%+</t>
        </is>
      </c>
      <c r="K12" s="27">
        <f>IF(F12&gt;=40,"✓","⚠")</f>
        <v/>
      </c>
    </row>
    <row r="13">
      <c r="A13" s="18" t="inlineStr">
        <is>
          <t>Valuación Post ($M)</t>
        </is>
      </c>
      <c r="B13" s="19" t="n">
        <v>50</v>
      </c>
      <c r="C13" s="19" t="n">
        <v>100</v>
      </c>
      <c r="D13" s="19" t="n">
        <v>200</v>
      </c>
      <c r="E13" s="19" t="n">
        <v>500</v>
      </c>
      <c r="F13" s="19" t="n">
        <v>1000</v>
      </c>
      <c r="G13" s="29">
        <f>POWER(F13/B13,1/4)-1</f>
        <v/>
      </c>
      <c r="H13" s="19">
        <f>B13*0.8</f>
        <v/>
      </c>
      <c r="I13" s="19">
        <f>F13*1.2</f>
        <v/>
      </c>
      <c r="J13" s="21" t="inlineStr">
        <is>
          <t>$1B+</t>
        </is>
      </c>
      <c r="K13" s="21">
        <f>IF(F13&gt;=1000,"✓","⚠")</f>
        <v/>
      </c>
    </row>
    <row r="15">
      <c r="B15" t="inlineStr">
        <is>
          <t>Año 1</t>
        </is>
      </c>
      <c r="C15" t="inlineStr">
        <is>
          <t>Año 2</t>
        </is>
      </c>
      <c r="D15" t="inlineStr">
        <is>
          <t>Año 3</t>
        </is>
      </c>
      <c r="E15" t="inlineStr">
        <is>
          <t>Año 4</t>
        </is>
      </c>
      <c r="F15" t="inlineStr">
        <is>
          <t>Año 5</t>
        </is>
      </c>
    </row>
    <row r="16">
      <c r="A16" t="inlineStr">
        <is>
          <t>Caso Base</t>
        </is>
      </c>
      <c r="B16" t="n">
        <v>3.36</v>
      </c>
      <c r="C16" t="n">
        <v>6</v>
      </c>
      <c r="D16" t="n">
        <v>12</v>
      </c>
      <c r="E16" t="n">
        <v>24</v>
      </c>
      <c r="F16" t="n">
        <v>60</v>
      </c>
    </row>
    <row r="17">
      <c r="A17" t="inlineStr">
        <is>
          <t>Conservador</t>
        </is>
      </c>
      <c r="B17" t="n">
        <v>2.69</v>
      </c>
      <c r="C17" t="n">
        <v>4.8</v>
      </c>
      <c r="D17" t="n">
        <v>9.6</v>
      </c>
      <c r="E17" t="n">
        <v>19.2</v>
      </c>
      <c r="F17" t="n">
        <v>48</v>
      </c>
    </row>
    <row r="18">
      <c r="A18" t="inlineStr">
        <is>
          <t>Optimista</t>
        </is>
      </c>
      <c r="B18" t="n">
        <v>4.03</v>
      </c>
      <c r="C18" t="n">
        <v>7.2</v>
      </c>
      <c r="D18" t="n">
        <v>14.4</v>
      </c>
      <c r="E18" t="n">
        <v>28.8</v>
      </c>
      <c r="F18" t="n">
        <v>72</v>
      </c>
    </row>
  </sheetData>
  <mergeCells count="1">
    <mergeCell ref="A1:K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7" t="inlineStr">
        <is>
          <t>MATRIZ DE ANÁLISIS DE RIESGO - VENTURE CAPITAL</t>
        </is>
      </c>
    </row>
    <row r="3">
      <c r="A3" s="8" t="inlineStr">
        <is>
          <t>Riesgo</t>
        </is>
      </c>
      <c r="B3" s="8" t="inlineStr">
        <is>
          <t>Probabilidad</t>
        </is>
      </c>
      <c r="C3" s="8" t="inlineStr">
        <is>
          <t>Impacto</t>
        </is>
      </c>
      <c r="D3" s="8" t="inlineStr">
        <is>
          <t>Score</t>
        </is>
      </c>
      <c r="E3" s="8" t="inlineStr">
        <is>
          <t>Categoría</t>
        </is>
      </c>
      <c r="F3" s="8" t="inlineStr">
        <is>
          <t>Mitigación</t>
        </is>
      </c>
      <c r="G3" s="8" t="inlineStr">
        <is>
          <t>Inversión Req.</t>
        </is>
      </c>
      <c r="H3" s="8" t="inlineStr">
        <is>
          <t>Timeline</t>
        </is>
      </c>
      <c r="I3" s="8" t="inlineStr">
        <is>
          <t>Estado</t>
        </is>
      </c>
    </row>
    <row r="4">
      <c r="A4" s="9" t="inlineStr">
        <is>
          <t>Dependencia de Modelos IA</t>
        </is>
      </c>
      <c r="B4" s="10" t="inlineStr">
        <is>
          <t>85%</t>
        </is>
      </c>
      <c r="C4" s="10" t="inlineStr">
        <is>
          <t>Alto</t>
        </is>
      </c>
      <c r="D4" s="31" t="inlineStr">
        <is>
          <t>8.5</t>
        </is>
      </c>
      <c r="E4" s="10" t="inlineStr">
        <is>
          <t>Tecnología</t>
        </is>
      </c>
      <c r="F4" s="10" t="inlineStr">
        <is>
          <t>Estrategia multi-proveedor</t>
        </is>
      </c>
      <c r="G4" s="10" t="inlineStr">
        <is>
          <t>$2M</t>
        </is>
      </c>
      <c r="H4" s="10" t="inlineStr">
        <is>
          <t>6 meses</t>
        </is>
      </c>
      <c r="I4" s="10" t="inlineStr">
        <is>
          <t>En Mitigación</t>
        </is>
      </c>
    </row>
    <row r="5">
      <c r="A5" s="12" t="inlineStr">
        <is>
          <t>Responsabilidad Legal</t>
        </is>
      </c>
      <c r="B5" s="13" t="inlineStr">
        <is>
          <t>60%</t>
        </is>
      </c>
      <c r="C5" s="13" t="inlineStr">
        <is>
          <t>Crítico</t>
        </is>
      </c>
      <c r="D5" s="31" t="inlineStr">
        <is>
          <t>8.0</t>
        </is>
      </c>
      <c r="E5" s="13" t="inlineStr">
        <is>
          <t>Legal</t>
        </is>
      </c>
      <c r="F5" s="13" t="inlineStr">
        <is>
          <t>Procesos de revisión legal</t>
        </is>
      </c>
      <c r="G5" s="13" t="inlineStr">
        <is>
          <t>$500K</t>
        </is>
      </c>
      <c r="H5" s="13" t="inlineStr">
        <is>
          <t>Inmediato</t>
        </is>
      </c>
      <c r="I5" s="13" t="inlineStr">
        <is>
          <t>En Mitigación</t>
        </is>
      </c>
    </row>
    <row r="6">
      <c r="A6" s="9" t="inlineStr">
        <is>
          <t>Saturación de Mercado</t>
        </is>
      </c>
      <c r="B6" s="10" t="inlineStr">
        <is>
          <t>70%</t>
        </is>
      </c>
      <c r="C6" s="10" t="inlineStr">
        <is>
          <t>Alto</t>
        </is>
      </c>
      <c r="D6" s="31" t="inlineStr">
        <is>
          <t>7.0</t>
        </is>
      </c>
      <c r="E6" s="10" t="inlineStr">
        <is>
          <t>Mercado</t>
        </is>
      </c>
      <c r="F6" s="10" t="inlineStr">
        <is>
          <t>Estrategia de especialización</t>
        </is>
      </c>
      <c r="G6" s="10" t="inlineStr">
        <is>
          <t>$1M</t>
        </is>
      </c>
      <c r="H6" s="10" t="inlineStr">
        <is>
          <t>Ongoing</t>
        </is>
      </c>
      <c r="I6" s="10" t="inlineStr">
        <is>
          <t>Monitoreo</t>
        </is>
      </c>
    </row>
    <row r="7">
      <c r="A7" s="12" t="inlineStr">
        <is>
          <t>Ventas Empresariales</t>
        </is>
      </c>
      <c r="B7" s="13" t="inlineStr">
        <is>
          <t>80%</t>
        </is>
      </c>
      <c r="C7" s="13" t="inlineStr">
        <is>
          <t>Medio</t>
        </is>
      </c>
      <c r="D7" s="32" t="inlineStr">
        <is>
          <t>6.0</t>
        </is>
      </c>
      <c r="E7" s="13" t="inlineStr">
        <is>
          <t>Ventas</t>
        </is>
      </c>
      <c r="F7" s="13" t="inlineStr">
        <is>
          <t>Certificación SOC 2</t>
        </is>
      </c>
      <c r="G7" s="13" t="inlineStr">
        <is>
          <t>$1.5M</t>
        </is>
      </c>
      <c r="H7" s="13" t="inlineStr">
        <is>
          <t>3 meses</t>
        </is>
      </c>
      <c r="I7" s="13" t="inlineStr">
        <is>
          <t>En Progreso</t>
        </is>
      </c>
    </row>
    <row r="8">
      <c r="A8" s="9" t="inlineStr">
        <is>
          <t>Concentración de Clientes</t>
        </is>
      </c>
      <c r="B8" s="10" t="inlineStr">
        <is>
          <t>50%</t>
        </is>
      </c>
      <c r="C8" s="10" t="inlineStr">
        <is>
          <t>Medio</t>
        </is>
      </c>
      <c r="D8" s="32" t="inlineStr">
        <is>
          <t>5.0</t>
        </is>
      </c>
      <c r="E8" s="10" t="inlineStr">
        <is>
          <t>Negocio</t>
        </is>
      </c>
      <c r="F8" s="10" t="inlineStr">
        <is>
          <t>Diversificación</t>
        </is>
      </c>
      <c r="G8" s="10" t="inlineStr">
        <is>
          <t>$800K</t>
        </is>
      </c>
      <c r="H8" s="10" t="inlineStr">
        <is>
          <t>12 meses</t>
        </is>
      </c>
      <c r="I8" s="10" t="inlineStr">
        <is>
          <t>Planificado</t>
        </is>
      </c>
    </row>
    <row r="9">
      <c r="A9" s="12" t="inlineStr">
        <is>
          <t>Cambios Regulatorios</t>
        </is>
      </c>
      <c r="B9" s="13" t="inlineStr">
        <is>
          <t>40%</t>
        </is>
      </c>
      <c r="C9" s="13" t="inlineStr">
        <is>
          <t>Alto</t>
        </is>
      </c>
      <c r="D9" s="32" t="inlineStr">
        <is>
          <t>5.0</t>
        </is>
      </c>
      <c r="E9" s="13" t="inlineStr">
        <is>
          <t>Legal</t>
        </is>
      </c>
      <c r="F9" s="13" t="inlineStr">
        <is>
          <t>Framework de cumplimiento</t>
        </is>
      </c>
      <c r="G9" s="13" t="inlineStr">
        <is>
          <t>$500K</t>
        </is>
      </c>
      <c r="H9" s="13" t="inlineStr">
        <is>
          <t>6 meses</t>
        </is>
      </c>
      <c r="I9" s="13" t="inlineStr">
        <is>
          <t>Planificado</t>
        </is>
      </c>
    </row>
    <row r="10">
      <c r="A10" s="9" t="inlineStr">
        <is>
          <t>Escalabilidad Tecnológica</t>
        </is>
      </c>
      <c r="B10" s="10" t="inlineStr">
        <is>
          <t>60%</t>
        </is>
      </c>
      <c r="C10" s="10" t="inlineStr">
        <is>
          <t>Medio</t>
        </is>
      </c>
      <c r="D10" s="13" t="inlineStr">
        <is>
          <t>4.5</t>
        </is>
      </c>
      <c r="E10" s="10" t="inlineStr">
        <is>
          <t>Tecnología</t>
        </is>
      </c>
      <c r="F10" s="10" t="inlineStr">
        <is>
          <t>Optimización infraestructura</t>
        </is>
      </c>
      <c r="G10" s="10" t="inlineStr">
        <is>
          <t>$1M</t>
        </is>
      </c>
      <c r="H10" s="10" t="inlineStr">
        <is>
          <t>3 meses</t>
        </is>
      </c>
      <c r="I10" s="10" t="inlineStr">
        <is>
          <t>En Progreso</t>
        </is>
      </c>
    </row>
    <row r="11">
      <c r="A11" s="12" t="inlineStr">
        <is>
          <t>Retención de Talento</t>
        </is>
      </c>
      <c r="B11" s="13" t="inlineStr">
        <is>
          <t>30%</t>
        </is>
      </c>
      <c r="C11" s="13" t="inlineStr">
        <is>
          <t>Alto</t>
        </is>
      </c>
      <c r="D11" s="13" t="inlineStr">
        <is>
          <t>4.0</t>
        </is>
      </c>
      <c r="E11" s="13" t="inlineStr">
        <is>
          <t>RRHH</t>
        </is>
      </c>
      <c r="F11" s="13" t="inlineStr">
        <is>
          <t>Programas de equity</t>
        </is>
      </c>
      <c r="G11" s="13" t="inlineStr">
        <is>
          <t>$500K</t>
        </is>
      </c>
      <c r="H11" s="13" t="inlineStr">
        <is>
          <t>Ongoing</t>
        </is>
      </c>
      <c r="I11" s="13" t="inlineStr">
        <is>
          <t>Implementado</t>
        </is>
      </c>
    </row>
    <row r="14">
      <c r="B14" t="inlineStr">
        <is>
          <t>IA</t>
        </is>
      </c>
      <c r="C14" t="inlineStr">
        <is>
          <t>Legal</t>
        </is>
      </c>
      <c r="D14" t="inlineStr">
        <is>
          <t>Mercado</t>
        </is>
      </c>
      <c r="E14" t="inlineStr">
        <is>
          <t>Ventas</t>
        </is>
      </c>
    </row>
    <row r="15">
      <c r="B15" t="n">
        <v>85</v>
      </c>
      <c r="C15" t="n">
        <v>60</v>
      </c>
      <c r="D15" t="n">
        <v>70</v>
      </c>
      <c r="E15" t="n">
        <v>80</v>
      </c>
    </row>
    <row r="16">
      <c r="B16" t="n">
        <v>3</v>
      </c>
      <c r="C16" t="n">
        <v>4</v>
      </c>
      <c r="D16" t="n">
        <v>3</v>
      </c>
      <c r="E16" t="n">
        <v>2</v>
      </c>
    </row>
  </sheetData>
  <mergeCells count="1">
    <mergeCell ref="A1:I1"/>
  </mergeCells>
  <pageMargins left="0.5" right="0.5" top="0.75" bottom="0.75" header="0.5" footer="0.5"/>
  <pageSetup orientation="landscape" paperSize="9" fitToHeight="0" fitToWidth="1"/>
  <headerFooter>
    <oddHeader>&amp;C&amp;F</oddHeader>
    <oddFooter>&amp;CPágina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2025-11-23T21:49:23Z</dcterms:created>
  <dcterms:modified xmlns:dcterms="http://purl.org/dc/terms/" xmlns:xsi="http://www.w3.org/2001/XMLSchema-instance" xsi:type="dcterms:W3CDTF">2025-11-23T21:49:23Z</dcterms:modified>
</cp:coreProperties>
</file>